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ping" sheetId="2" state="visible" r:id="rId2"/>
    <sheet xmlns:r="http://schemas.openxmlformats.org/officeDocument/2006/relationships" name="UX &amp; Design" sheetId="3" state="visible" r:id="rId3"/>
    <sheet xmlns:r="http://schemas.openxmlformats.org/officeDocument/2006/relationships" name="Frontend" sheetId="4" state="visible" r:id="rId4"/>
    <sheet xmlns:r="http://schemas.openxmlformats.org/officeDocument/2006/relationships" name="Backend" sheetId="5" state="visible" r:id="rId5"/>
    <sheet xmlns:r="http://schemas.openxmlformats.org/officeDocument/2006/relationships" name="DevOps" sheetId="6" state="visible" r:id="rId6"/>
    <sheet xmlns:r="http://schemas.openxmlformats.org/officeDocument/2006/relationships" name="QA and Testing" sheetId="7" state="visible" r:id="rId7"/>
    <sheet xmlns:r="http://schemas.openxmlformats.org/officeDocument/2006/relationships" name="Deployment and Hosting" sheetId="8" state="visible" r:id="rId8"/>
    <sheet xmlns:r="http://schemas.openxmlformats.org/officeDocument/2006/relationships" name="Handover and Support" sheetId="9" state="visible" r:id="rId9"/>
    <sheet xmlns:r="http://schemas.openxmlformats.org/officeDocument/2006/relationships" name="Rollu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Hours</t>
        </is>
      </c>
      <c r="B2" s="2" t="n">
        <v>1380</v>
      </c>
    </row>
    <row r="3">
      <c r="A3" t="inlineStr">
        <is>
          <t>Total Project Value (ex GST)</t>
        </is>
      </c>
      <c r="B3" s="3" t="n">
        <v>200000</v>
      </c>
    </row>
    <row r="4">
      <c r="A4" t="inlineStr">
        <is>
          <t>Effective Blended Rate</t>
        </is>
      </c>
      <c r="B4" s="3" t="n">
        <v>144.9275362318841</v>
      </c>
    </row>
    <row r="5">
      <c r="A5" t="inlineStr">
        <is>
          <t>Optional GST (10%)</t>
        </is>
      </c>
      <c r="B5" s="3">
        <f>B3*0.10</f>
        <v/>
      </c>
    </row>
    <row r="6">
      <c r="A6" t="inlineStr">
        <is>
          <t>Optional Total (inc GST)</t>
        </is>
      </c>
      <c r="B6" s="3">
        <f>B3+B5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24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Roles</t>
        </is>
      </c>
      <c r="D1" s="1" t="inlineStr">
        <is>
          <t>Rate/HR</t>
        </is>
      </c>
      <c r="E1" s="1" t="inlineStr">
        <is>
          <t>Time</t>
        </is>
      </c>
      <c r="F1" s="1" t="inlineStr">
        <is>
          <t>Subtotal</t>
        </is>
      </c>
    </row>
    <row r="2">
      <c r="A2" t="inlineStr">
        <is>
          <t>Business Discovery Workshops</t>
        </is>
      </c>
      <c r="B2" t="inlineStr">
        <is>
          <t>Facilitate stakeholder workshops to capture requirements and objectives</t>
        </is>
      </c>
      <c r="C2" t="inlineStr">
        <is>
          <t>Business Analyst</t>
        </is>
      </c>
      <c r="D2" s="3" t="n">
        <v>232.8093333333333</v>
      </c>
      <c r="E2" t="n">
        <v>24</v>
      </c>
      <c r="F2" s="3">
        <f>D2*E2</f>
        <v/>
      </c>
    </row>
    <row r="3">
      <c r="A3" t="inlineStr">
        <is>
          <t>Stakeholder Alignment Sessions</t>
        </is>
      </c>
      <c r="B3" t="inlineStr">
        <is>
          <t>Run review loops to align commercial and delivery expectations</t>
        </is>
      </c>
      <c r="C3" t="inlineStr">
        <is>
          <t>Product Manager</t>
        </is>
      </c>
      <c r="D3" s="3" t="n">
        <v>232.8093333333333</v>
      </c>
      <c r="E3" t="n">
        <v>20</v>
      </c>
      <c r="F3" s="3">
        <f>D3*E3</f>
        <v/>
      </c>
    </row>
    <row r="4">
      <c r="A4" t="inlineStr">
        <is>
          <t>Workflow Mapping and ERD Planning</t>
        </is>
      </c>
      <c r="B4" t="inlineStr">
        <is>
          <t>Map process flows and draft entity relationships for delivery scope</t>
        </is>
      </c>
      <c r="C4" t="inlineStr">
        <is>
          <t>Business Analyst</t>
        </is>
      </c>
      <c r="D4" s="3" t="n">
        <v>232.8093333333333</v>
      </c>
      <c r="E4" t="n">
        <v>26</v>
      </c>
      <c r="F4" s="3">
        <f>D4*E4</f>
        <v/>
      </c>
    </row>
    <row r="5">
      <c r="A5" t="inlineStr">
        <is>
          <t>Functional Specification Drafting</t>
        </is>
      </c>
      <c r="B5" t="inlineStr">
        <is>
          <t>Document functional and non-functional requirements baseline</t>
        </is>
      </c>
      <c r="C5" t="inlineStr">
        <is>
          <t>Business Analyst</t>
        </is>
      </c>
      <c r="D5" s="3" t="n">
        <v>232.8093333333333</v>
      </c>
      <c r="E5" t="n">
        <v>18</v>
      </c>
      <c r="F5" s="3">
        <f>D5*E5</f>
        <v/>
      </c>
    </row>
    <row r="6">
      <c r="A6" t="inlineStr">
        <is>
          <t>Technical Feasibility and Risk Review</t>
        </is>
      </c>
      <c r="B6" t="inlineStr">
        <is>
          <t>Assess constraints, risks, and architecture feasibility</t>
        </is>
      </c>
      <c r="C6" t="inlineStr">
        <is>
          <t>Technical Lead</t>
        </is>
      </c>
      <c r="D6" s="3" t="n">
        <v>232.8093333333333</v>
      </c>
      <c r="E6" t="n">
        <v>14</v>
      </c>
      <c r="F6" s="3">
        <f>D6*E6</f>
        <v/>
      </c>
    </row>
    <row r="7">
      <c r="A7" t="inlineStr">
        <is>
          <t>Project Milestones and Delivery Plan</t>
        </is>
      </c>
      <c r="B7" t="inlineStr">
        <is>
          <t>Define phased milestones, dependencies, and approvals</t>
        </is>
      </c>
      <c r="C7" t="inlineStr">
        <is>
          <t>Product Manager</t>
        </is>
      </c>
      <c r="D7" s="3" t="n">
        <v>232.8093333333333</v>
      </c>
      <c r="E7" t="n">
        <v>10</v>
      </c>
      <c r="F7" s="3">
        <f>D7*E7</f>
        <v/>
      </c>
    </row>
    <row r="8">
      <c r="A8" t="inlineStr">
        <is>
          <t>Acceptance Criteria and Scope Lock</t>
        </is>
      </c>
      <c r="B8" t="inlineStr">
        <is>
          <t>Finalize acceptance criteria and scope boundaries</t>
        </is>
      </c>
      <c r="C8" t="inlineStr">
        <is>
          <t>Business Analyst</t>
        </is>
      </c>
      <c r="D8" s="3" t="n">
        <v>232.8093333333333</v>
      </c>
      <c r="E8" t="n">
        <v>8</v>
      </c>
      <c r="F8" s="3">
        <f>D8*E8</f>
        <v/>
      </c>
    </row>
    <row r="9">
      <c r="A9" t="inlineStr">
        <is>
          <t>Section Total</t>
        </is>
      </c>
      <c r="B9" t="inlineStr"/>
      <c r="C9" t="inlineStr"/>
      <c r="D9" s="3" t="inlineStr"/>
      <c r="E9">
        <f>SUM(E2:E8)</f>
        <v/>
      </c>
      <c r="F9" s="3">
        <f>SUM(F2:F8)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24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Roles</t>
        </is>
      </c>
      <c r="D1" s="1" t="inlineStr">
        <is>
          <t>Rate/HR</t>
        </is>
      </c>
      <c r="E1" s="1" t="inlineStr">
        <is>
          <t>Time</t>
        </is>
      </c>
      <c r="F1" s="1" t="inlineStr">
        <is>
          <t>Subtotal</t>
        </is>
      </c>
    </row>
    <row r="2">
      <c r="A2" t="inlineStr">
        <is>
          <t>Low-Fidelity Wireframing</t>
        </is>
      </c>
      <c r="B2" t="inlineStr">
        <is>
          <t>Prepare low-fidelity wireframes for primary product journeys</t>
        </is>
      </c>
      <c r="C2" t="inlineStr">
        <is>
          <t>UI/UX Designer</t>
        </is>
      </c>
      <c r="D2" s="3" t="n">
        <v>93.60376470588236</v>
      </c>
      <c r="E2" t="n">
        <v>28</v>
      </c>
      <c r="F2" s="3">
        <f>D2*E2</f>
        <v/>
      </c>
    </row>
    <row r="3">
      <c r="A3" t="inlineStr">
        <is>
          <t>High-Fidelity Figma Prototyping</t>
        </is>
      </c>
      <c r="B3" t="inlineStr">
        <is>
          <t>Create high-fidelity interactive prototypes for core workflows</t>
        </is>
      </c>
      <c r="C3" t="inlineStr">
        <is>
          <t>UI/UX Designer</t>
        </is>
      </c>
      <c r="D3" s="3" t="n">
        <v>93.60376470588236</v>
      </c>
      <c r="E3" t="n">
        <v>46</v>
      </c>
      <c r="F3" s="3">
        <f>D3*E3</f>
        <v/>
      </c>
    </row>
    <row r="4">
      <c r="A4" t="inlineStr">
        <is>
          <t>Design System and Component Specs</t>
        </is>
      </c>
      <c r="B4" t="inlineStr">
        <is>
          <t>Define typography, spacing, tokens, and reusable components</t>
        </is>
      </c>
      <c r="C4" t="inlineStr">
        <is>
          <t>UI/UX Designer</t>
        </is>
      </c>
      <c r="D4" s="3" t="n">
        <v>93.60376470588236</v>
      </c>
      <c r="E4" t="n">
        <v>34</v>
      </c>
      <c r="F4" s="3">
        <f>D4*E4</f>
        <v/>
      </c>
    </row>
    <row r="5">
      <c r="A5" t="inlineStr">
        <is>
          <t>Accessibility and UX Audit</t>
        </is>
      </c>
      <c r="B5" t="inlineStr">
        <is>
          <t>Run accessibility and usability checks against key journeys</t>
        </is>
      </c>
      <c r="C5" t="inlineStr">
        <is>
          <t>UI/UX Designer</t>
        </is>
      </c>
      <c r="D5" s="3" t="n">
        <v>93.60376470588236</v>
      </c>
      <c r="E5" t="n">
        <v>20</v>
      </c>
      <c r="F5" s="3">
        <f>D5*E5</f>
        <v/>
      </c>
    </row>
    <row r="6">
      <c r="A6" t="inlineStr">
        <is>
          <t>Iteration and Stakeholder Feedback</t>
        </is>
      </c>
      <c r="B6" t="inlineStr">
        <is>
          <t>Incorporate iterative feedback while preserving UX consistency</t>
        </is>
      </c>
      <c r="C6" t="inlineStr">
        <is>
          <t>UI/UX Designer</t>
        </is>
      </c>
      <c r="D6" s="3" t="n">
        <v>93.60376470588236</v>
      </c>
      <c r="E6" t="n">
        <v>22</v>
      </c>
      <c r="F6" s="3">
        <f>D6*E6</f>
        <v/>
      </c>
    </row>
    <row r="7">
      <c r="A7" t="inlineStr">
        <is>
          <t>Design Handoff and Annotated Specs</t>
        </is>
      </c>
      <c r="B7" t="inlineStr">
        <is>
          <t>Deliver annotated handoff specs for engineering implementation</t>
        </is>
      </c>
      <c r="C7" t="inlineStr">
        <is>
          <t>UI/UX Designer</t>
        </is>
      </c>
      <c r="D7" s="3" t="n">
        <v>93.60376470588236</v>
      </c>
      <c r="E7" t="n">
        <v>20</v>
      </c>
      <c r="F7" s="3">
        <f>D7*E7</f>
        <v/>
      </c>
    </row>
    <row r="8">
      <c r="A8" t="inlineStr">
        <is>
          <t>Section Total</t>
        </is>
      </c>
      <c r="B8" t="inlineStr"/>
      <c r="C8" t="inlineStr"/>
      <c r="D8" s="3" t="inlineStr"/>
      <c r="E8">
        <f>SUM(E2:E7)</f>
        <v/>
      </c>
      <c r="F8" s="3">
        <f>SUM(F2:F7)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24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Roles</t>
        </is>
      </c>
      <c r="D1" s="1" t="inlineStr">
        <is>
          <t>Rate/HR</t>
        </is>
      </c>
      <c r="E1" s="1" t="inlineStr">
        <is>
          <t>Time</t>
        </is>
      </c>
      <c r="F1" s="1" t="inlineStr">
        <is>
          <t>Subtotal</t>
        </is>
      </c>
    </row>
    <row r="2">
      <c r="A2" t="inlineStr">
        <is>
          <t>Core App Shell and Routing</t>
        </is>
      </c>
      <c r="B2" t="inlineStr">
        <is>
          <t>Implement app shell, navigation, and route structure</t>
        </is>
      </c>
      <c r="C2" t="inlineStr">
        <is>
          <t>Frontend Developer</t>
        </is>
      </c>
      <c r="D2" s="3" t="n">
        <v>175.65703125</v>
      </c>
      <c r="E2" t="n">
        <v>56</v>
      </c>
      <c r="F2" s="3">
        <f>D2*E2</f>
        <v/>
      </c>
    </row>
    <row r="3">
      <c r="A3" t="inlineStr">
        <is>
          <t>Role-Based Dashboard Implementation</t>
        </is>
      </c>
      <c r="B3" t="inlineStr">
        <is>
          <t>Build role-specific dashboards and user experiences</t>
        </is>
      </c>
      <c r="C3" t="inlineStr">
        <is>
          <t>Frontend Developer</t>
        </is>
      </c>
      <c r="D3" s="3" t="n">
        <v>175.65703125</v>
      </c>
      <c r="E3" t="n">
        <v>52</v>
      </c>
      <c r="F3" s="3">
        <f>D3*E3</f>
        <v/>
      </c>
    </row>
    <row r="4">
      <c r="A4" t="inlineStr">
        <is>
          <t>Lesson Runtime and Presentation UI</t>
        </is>
      </c>
      <c r="B4" t="inlineStr">
        <is>
          <t>Implement lesson runtime views and presentation mode surfaces</t>
        </is>
      </c>
      <c r="C4" t="inlineStr">
        <is>
          <t>Frontend Developer</t>
        </is>
      </c>
      <c r="D4" s="3" t="n">
        <v>175.65703125</v>
      </c>
      <c r="E4" t="n">
        <v>68</v>
      </c>
      <c r="F4" s="3">
        <f>D4*E4</f>
        <v/>
      </c>
    </row>
    <row r="5">
      <c r="A5" t="inlineStr">
        <is>
          <t>Admin Panels and Content Interfaces</t>
        </is>
      </c>
      <c r="B5" t="inlineStr">
        <is>
          <t>Build admin content, settings, and data-management interfaces</t>
        </is>
      </c>
      <c r="C5" t="inlineStr">
        <is>
          <t>Frontend Developer</t>
        </is>
      </c>
      <c r="D5" s="3" t="n">
        <v>175.65703125</v>
      </c>
      <c r="E5" t="n">
        <v>56</v>
      </c>
      <c r="F5" s="3">
        <f>D5*E5</f>
        <v/>
      </c>
    </row>
    <row r="6">
      <c r="A6" t="inlineStr">
        <is>
          <t>Shared Component Architecture</t>
        </is>
      </c>
      <c r="B6" t="inlineStr">
        <is>
          <t>Create and harden reusable UI components and patterns</t>
        </is>
      </c>
      <c r="C6" t="inlineStr">
        <is>
          <t>Frontend Developer</t>
        </is>
      </c>
      <c r="D6" s="3" t="n">
        <v>175.65703125</v>
      </c>
      <c r="E6" t="n">
        <v>44</v>
      </c>
      <c r="F6" s="3">
        <f>D6*E6</f>
        <v/>
      </c>
    </row>
    <row r="7">
      <c r="A7" t="inlineStr">
        <is>
          <t>State Management and Data Integration</t>
        </is>
      </c>
      <c r="B7" t="inlineStr">
        <is>
          <t>Integrate API data flows and state orchestration patterns</t>
        </is>
      </c>
      <c r="C7" t="inlineStr">
        <is>
          <t>Frontend Developer</t>
        </is>
      </c>
      <c r="D7" s="3" t="n">
        <v>175.65703125</v>
      </c>
      <c r="E7" t="n">
        <v>28</v>
      </c>
      <c r="F7" s="3">
        <f>D7*E7</f>
        <v/>
      </c>
    </row>
    <row r="8">
      <c r="A8" t="inlineStr">
        <is>
          <t>Responsive and Accessibility Compliance</t>
        </is>
      </c>
      <c r="B8" t="inlineStr">
        <is>
          <t>Refine mobile/tablet responsiveness and accessibility standards</t>
        </is>
      </c>
      <c r="C8" t="inlineStr">
        <is>
          <t>Frontend Developer</t>
        </is>
      </c>
      <c r="D8" s="3" t="n">
        <v>175.65703125</v>
      </c>
      <c r="E8" t="n">
        <v>16</v>
      </c>
      <c r="F8" s="3">
        <f>D8*E8</f>
        <v/>
      </c>
    </row>
    <row r="9">
      <c r="A9" t="inlineStr">
        <is>
          <t>Section Total</t>
        </is>
      </c>
      <c r="B9" t="inlineStr"/>
      <c r="C9" t="inlineStr"/>
      <c r="D9" s="3" t="inlineStr"/>
      <c r="E9">
        <f>SUM(E2:E8)</f>
        <v/>
      </c>
      <c r="F9" s="3">
        <f>SUM(F2:F8)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24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Roles</t>
        </is>
      </c>
      <c r="D1" s="1" t="inlineStr">
        <is>
          <t>Rate/HR</t>
        </is>
      </c>
      <c r="E1" s="1" t="inlineStr">
        <is>
          <t>Time</t>
        </is>
      </c>
      <c r="F1" s="1" t="inlineStr">
        <is>
          <t>Subtotal</t>
        </is>
      </c>
    </row>
    <row r="2">
      <c r="A2" t="inlineStr">
        <is>
          <t>Domain Schema and Service Initialization</t>
        </is>
      </c>
      <c r="B2" t="inlineStr">
        <is>
          <t>Initialize backend domains, service boundaries, and persistence wiring</t>
        </is>
      </c>
      <c r="C2" t="inlineStr">
        <is>
          <t>Backend Developer</t>
        </is>
      </c>
      <c r="D2" s="3" t="n">
        <v>192.6476666666667</v>
      </c>
      <c r="E2" t="n">
        <v>44</v>
      </c>
      <c r="F2" s="3">
        <f>D2*E2</f>
        <v/>
      </c>
    </row>
    <row r="3">
      <c r="A3" t="inlineStr">
        <is>
          <t>API Route Implementation</t>
        </is>
      </c>
      <c r="B3" t="inlineStr">
        <is>
          <t>Implement and secure API routes across product domains</t>
        </is>
      </c>
      <c r="C3" t="inlineStr">
        <is>
          <t>Backend Developer</t>
        </is>
      </c>
      <c r="D3" s="3" t="n">
        <v>192.6476666666667</v>
      </c>
      <c r="E3" t="n">
        <v>92</v>
      </c>
      <c r="F3" s="3">
        <f>D3*E3</f>
        <v/>
      </c>
    </row>
    <row r="4">
      <c r="A4" t="inlineStr">
        <is>
          <t>Business Logic and Validation Layers</t>
        </is>
      </c>
      <c r="B4" t="inlineStr">
        <is>
          <t>Build validation, rules engines, and core domain logic</t>
        </is>
      </c>
      <c r="C4" t="inlineStr">
        <is>
          <t>Backend Developer</t>
        </is>
      </c>
      <c r="D4" s="3" t="n">
        <v>192.6476666666667</v>
      </c>
      <c r="E4" t="n">
        <v>70</v>
      </c>
      <c r="F4" s="3">
        <f>D4*E4</f>
        <v/>
      </c>
    </row>
    <row r="5">
      <c r="A5" t="inlineStr">
        <is>
          <t>Authentication and RBAC Controls</t>
        </is>
      </c>
      <c r="B5" t="inlineStr">
        <is>
          <t>Implement authentication, authorization, and role permissions</t>
        </is>
      </c>
      <c r="C5" t="inlineStr">
        <is>
          <t>Backend Developer</t>
        </is>
      </c>
      <c r="D5" s="3" t="n">
        <v>192.6476666666667</v>
      </c>
      <c r="E5" t="n">
        <v>42</v>
      </c>
      <c r="F5" s="3">
        <f>D5*E5</f>
        <v/>
      </c>
    </row>
    <row r="6">
      <c r="A6" t="inlineStr">
        <is>
          <t>Reporting and Operational Endpoints</t>
        </is>
      </c>
      <c r="B6" t="inlineStr">
        <is>
          <t>Create reporting and operational endpoints for admin workflows</t>
        </is>
      </c>
      <c r="C6" t="inlineStr">
        <is>
          <t>Backend Developer</t>
        </is>
      </c>
      <c r="D6" s="3" t="n">
        <v>192.6476666666667</v>
      </c>
      <c r="E6" t="n">
        <v>28</v>
      </c>
      <c r="F6" s="3">
        <f>D6*E6</f>
        <v/>
      </c>
    </row>
    <row r="7">
      <c r="A7" t="inlineStr">
        <is>
          <t>Performance and Query Hardening</t>
        </is>
      </c>
      <c r="B7" t="inlineStr">
        <is>
          <t>Tune backend queries, caching decisions, and endpoint performance</t>
        </is>
      </c>
      <c r="C7" t="inlineStr">
        <is>
          <t>Backend Developer</t>
        </is>
      </c>
      <c r="D7" s="3" t="n">
        <v>192.6476666666667</v>
      </c>
      <c r="E7" t="n">
        <v>24</v>
      </c>
      <c r="F7" s="3">
        <f>D7*E7</f>
        <v/>
      </c>
    </row>
    <row r="8">
      <c r="A8" t="inlineStr">
        <is>
          <t>Section Total</t>
        </is>
      </c>
      <c r="B8" t="inlineStr"/>
      <c r="C8" t="inlineStr"/>
      <c r="D8" s="3" t="inlineStr"/>
      <c r="E8">
        <f>SUM(E2:E7)</f>
        <v/>
      </c>
      <c r="F8" s="3">
        <f>SUM(F2:F7)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24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Roles</t>
        </is>
      </c>
      <c r="D1" s="1" t="inlineStr">
        <is>
          <t>Rate/HR</t>
        </is>
      </c>
      <c r="E1" s="1" t="inlineStr">
        <is>
          <t>Time</t>
        </is>
      </c>
      <c r="F1" s="1" t="inlineStr">
        <is>
          <t>Subtotal</t>
        </is>
      </c>
    </row>
    <row r="2">
      <c r="A2" t="inlineStr">
        <is>
          <t>CI/CD Pipeline Engineering</t>
        </is>
      </c>
      <c r="B2" t="inlineStr">
        <is>
          <t>Establish automated build, test, and deploy pipelines</t>
        </is>
      </c>
      <c r="C2" t="inlineStr">
        <is>
          <t>DevOps Engineer</t>
        </is>
      </c>
      <c r="D2" s="3" t="n">
        <v>92.80374999999999</v>
      </c>
      <c r="E2" t="n">
        <v>30</v>
      </c>
      <c r="F2" s="3">
        <f>D2*E2</f>
        <v/>
      </c>
    </row>
    <row r="3">
      <c r="A3" t="inlineStr">
        <is>
          <t>Environment Strategy (Dev/Staging/Prod)</t>
        </is>
      </c>
      <c r="B3" t="inlineStr">
        <is>
          <t>Configure environment structure and deployment promotion model</t>
        </is>
      </c>
      <c r="C3" t="inlineStr">
        <is>
          <t>DevOps Engineer</t>
        </is>
      </c>
      <c r="D3" s="3" t="n">
        <v>92.80374999999999</v>
      </c>
      <c r="E3" t="n">
        <v>20</v>
      </c>
      <c r="F3" s="3">
        <f>D3*E3</f>
        <v/>
      </c>
    </row>
    <row r="4">
      <c r="A4" t="inlineStr">
        <is>
          <t>Secret Management and Access Policies</t>
        </is>
      </c>
      <c r="B4" t="inlineStr">
        <is>
          <t>Implement secrets handling and secure operational access controls</t>
        </is>
      </c>
      <c r="C4" t="inlineStr">
        <is>
          <t>DevOps Engineer</t>
        </is>
      </c>
      <c r="D4" s="3" t="n">
        <v>92.80374999999999</v>
      </c>
      <c r="E4" t="n">
        <v>16</v>
      </c>
      <c r="F4" s="3">
        <f>D4*E4</f>
        <v/>
      </c>
    </row>
    <row r="5">
      <c r="A5" t="inlineStr">
        <is>
          <t>Observability and Alerting Baseline</t>
        </is>
      </c>
      <c r="B5" t="inlineStr">
        <is>
          <t>Set up logs, metrics, and alerting for production oversight</t>
        </is>
      </c>
      <c r="C5" t="inlineStr">
        <is>
          <t>DevOps Engineer</t>
        </is>
      </c>
      <c r="D5" s="3" t="n">
        <v>92.80374999999999</v>
      </c>
      <c r="E5" t="n">
        <v>18</v>
      </c>
      <c r="F5" s="3">
        <f>D5*E5</f>
        <v/>
      </c>
    </row>
    <row r="6">
      <c r="A6" t="inlineStr">
        <is>
          <t>Backup and Recovery Design</t>
        </is>
      </c>
      <c r="B6" t="inlineStr">
        <is>
          <t>Define backup, restore, and operational resilience procedures</t>
        </is>
      </c>
      <c r="C6" t="inlineStr">
        <is>
          <t>DevOps Engineer</t>
        </is>
      </c>
      <c r="D6" s="3" t="n">
        <v>92.80374999999999</v>
      </c>
      <c r="E6" t="n">
        <v>14</v>
      </c>
      <c r="F6" s="3">
        <f>D6*E6</f>
        <v/>
      </c>
    </row>
    <row r="7">
      <c r="A7" t="inlineStr">
        <is>
          <t>Security Hardening and Runtime Policies</t>
        </is>
      </c>
      <c r="B7" t="inlineStr">
        <is>
          <t>Apply platform hardening and runtime security controls</t>
        </is>
      </c>
      <c r="C7" t="inlineStr">
        <is>
          <t>DevOps Engineer</t>
        </is>
      </c>
      <c r="D7" s="3" t="n">
        <v>92.80374999999999</v>
      </c>
      <c r="E7" t="n">
        <v>22</v>
      </c>
      <c r="F7" s="3">
        <f>D7*E7</f>
        <v/>
      </c>
    </row>
    <row r="8">
      <c r="A8" t="inlineStr">
        <is>
          <t>Section Total</t>
        </is>
      </c>
      <c r="B8" t="inlineStr"/>
      <c r="C8" t="inlineStr"/>
      <c r="D8" s="3" t="inlineStr"/>
      <c r="E8">
        <f>SUM(E2:E7)</f>
        <v/>
      </c>
      <c r="F8" s="3">
        <f>SUM(F2:F7)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24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Roles</t>
        </is>
      </c>
      <c r="D1" s="1" t="inlineStr">
        <is>
          <t>Rate/HR</t>
        </is>
      </c>
      <c r="E1" s="1" t="inlineStr">
        <is>
          <t>Time</t>
        </is>
      </c>
      <c r="F1" s="1" t="inlineStr">
        <is>
          <t>Subtotal</t>
        </is>
      </c>
    </row>
    <row r="2">
      <c r="A2" t="inlineStr">
        <is>
          <t>Test Plan and Coverage Matrix</t>
        </is>
      </c>
      <c r="B2" t="inlineStr">
        <is>
          <t>Define test strategy, coverage matrix, and quality gates</t>
        </is>
      </c>
      <c r="C2" t="inlineStr">
        <is>
          <t>QA Tester</t>
        </is>
      </c>
      <c r="D2" s="3" t="n">
        <v>68.00271428571429</v>
      </c>
      <c r="E2" t="n">
        <v>18</v>
      </c>
      <c r="F2" s="3">
        <f>D2*E2</f>
        <v/>
      </c>
    </row>
    <row r="3">
      <c r="A3" t="inlineStr">
        <is>
          <t>Cross-Browser and Device Testing</t>
        </is>
      </c>
      <c r="B3" t="inlineStr">
        <is>
          <t>Execute browser and device compatibility testing cycles</t>
        </is>
      </c>
      <c r="C3" t="inlineStr">
        <is>
          <t>QA Tester</t>
        </is>
      </c>
      <c r="D3" s="3" t="n">
        <v>68.00271428571429</v>
      </c>
      <c r="E3" t="n">
        <v>32</v>
      </c>
      <c r="F3" s="3">
        <f>D3*E3</f>
        <v/>
      </c>
    </row>
    <row r="4">
      <c r="A4" t="inlineStr">
        <is>
          <t>Regression Testing Cycles</t>
        </is>
      </c>
      <c r="B4" t="inlineStr">
        <is>
          <t>Run regression passes across critical product workflows</t>
        </is>
      </c>
      <c r="C4" t="inlineStr">
        <is>
          <t>QA Tester</t>
        </is>
      </c>
      <c r="D4" s="3" t="n">
        <v>68.00271428571429</v>
      </c>
      <c r="E4" t="n">
        <v>36</v>
      </c>
      <c r="F4" s="3">
        <f>D4*E4</f>
        <v/>
      </c>
    </row>
    <row r="5">
      <c r="A5" t="inlineStr">
        <is>
          <t>Integration and API Test Verification</t>
        </is>
      </c>
      <c r="B5" t="inlineStr">
        <is>
          <t>Validate cross-system integrations and API behaviors</t>
        </is>
      </c>
      <c r="C5" t="inlineStr">
        <is>
          <t>QA Tester</t>
        </is>
      </c>
      <c r="D5" s="3" t="n">
        <v>68.00271428571429</v>
      </c>
      <c r="E5" t="n">
        <v>20</v>
      </c>
      <c r="F5" s="3">
        <f>D5*E5</f>
        <v/>
      </c>
    </row>
    <row r="6">
      <c r="A6" t="inlineStr">
        <is>
          <t>UAT Facilitation and Defect Triage</t>
        </is>
      </c>
      <c r="B6" t="inlineStr">
        <is>
          <t>Facilitate client UAT and triage/prioritize defects</t>
        </is>
      </c>
      <c r="C6" t="inlineStr">
        <is>
          <t>QA Tester</t>
        </is>
      </c>
      <c r="D6" s="3" t="n">
        <v>68.00271428571429</v>
      </c>
      <c r="E6" t="n">
        <v>22</v>
      </c>
      <c r="F6" s="3">
        <f>D6*E6</f>
        <v/>
      </c>
    </row>
    <row r="7">
      <c r="A7" t="inlineStr">
        <is>
          <t>Fix Verification and Sign-Off Testing</t>
        </is>
      </c>
      <c r="B7" t="inlineStr">
        <is>
          <t>Retest fixes and prepare sign-off quality evidence</t>
        </is>
      </c>
      <c r="C7" t="inlineStr">
        <is>
          <t>QA Tester</t>
        </is>
      </c>
      <c r="D7" s="3" t="n">
        <v>68.00271428571429</v>
      </c>
      <c r="E7" t="n">
        <v>12</v>
      </c>
      <c r="F7" s="3">
        <f>D7*E7</f>
        <v/>
      </c>
    </row>
    <row r="8">
      <c r="A8" t="inlineStr">
        <is>
          <t>Section Total</t>
        </is>
      </c>
      <c r="B8" t="inlineStr"/>
      <c r="C8" t="inlineStr"/>
      <c r="D8" s="3" t="inlineStr"/>
      <c r="E8">
        <f>SUM(E2:E7)</f>
        <v/>
      </c>
      <c r="F8" s="3">
        <f>SUM(F2:F7)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24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Roles</t>
        </is>
      </c>
      <c r="D1" s="1" t="inlineStr">
        <is>
          <t>Rate/HR</t>
        </is>
      </c>
      <c r="E1" s="1" t="inlineStr">
        <is>
          <t>Time</t>
        </is>
      </c>
      <c r="F1" s="1" t="inlineStr">
        <is>
          <t>Subtotal</t>
        </is>
      </c>
    </row>
    <row r="2">
      <c r="A2" t="inlineStr">
        <is>
          <t>Supabase Production Setup</t>
        </is>
      </c>
      <c r="B2" t="inlineStr">
        <is>
          <t>Configure Supabase auth, storage, policies, and production settings</t>
        </is>
      </c>
      <c r="C2" t="inlineStr">
        <is>
          <t>DevOps Engineer</t>
        </is>
      </c>
      <c r="D2" s="3" t="n">
        <v>104.0042</v>
      </c>
      <c r="E2" t="n">
        <v>24</v>
      </c>
      <c r="F2" s="3">
        <f>D2*E2</f>
        <v/>
      </c>
    </row>
    <row r="3">
      <c r="A3" t="inlineStr">
        <is>
          <t>Vercel Runtime and Build Configuration</t>
        </is>
      </c>
      <c r="B3" t="inlineStr">
        <is>
          <t>Set up Vercel environments, builds, and runtime constraints</t>
        </is>
      </c>
      <c r="C3" t="inlineStr">
        <is>
          <t>DevOps Engineer</t>
        </is>
      </c>
      <c r="D3" s="3" t="n">
        <v>104.0042</v>
      </c>
      <c r="E3" t="n">
        <v>20</v>
      </c>
      <c r="F3" s="3">
        <f>D3*E3</f>
        <v/>
      </c>
    </row>
    <row r="4">
      <c r="A4" t="inlineStr">
        <is>
          <t>GitHub Workflow and Release Controls</t>
        </is>
      </c>
      <c r="B4" t="inlineStr">
        <is>
          <t>Establish branch strategy and release workflow controls</t>
        </is>
      </c>
      <c r="C4" t="inlineStr">
        <is>
          <t>DevOps Engineer</t>
        </is>
      </c>
      <c r="D4" s="3" t="n">
        <v>104.0042</v>
      </c>
      <c r="E4" t="n">
        <v>18</v>
      </c>
      <c r="F4" s="3">
        <f>D4*E4</f>
        <v/>
      </c>
    </row>
    <row r="5">
      <c r="A5" t="inlineStr">
        <is>
          <t>Domain, DNS, and SSL Cutover</t>
        </is>
      </c>
      <c r="B5" t="inlineStr">
        <is>
          <t>Configure domains, DNS, certificates, and secure routing</t>
        </is>
      </c>
      <c r="C5" t="inlineStr">
        <is>
          <t>DevOps Engineer</t>
        </is>
      </c>
      <c r="D5" s="3" t="n">
        <v>104.0042</v>
      </c>
      <c r="E5" t="n">
        <v>12</v>
      </c>
      <c r="F5" s="3">
        <f>D5*E5</f>
        <v/>
      </c>
    </row>
    <row r="6">
      <c r="A6" t="inlineStr">
        <is>
          <t>Production Release Coordination</t>
        </is>
      </c>
      <c r="B6" t="inlineStr">
        <is>
          <t>Coordinate controlled production releases and verification</t>
        </is>
      </c>
      <c r="C6" t="inlineStr">
        <is>
          <t>DevOps Engineer</t>
        </is>
      </c>
      <c r="D6" s="3" t="n">
        <v>104.0042</v>
      </c>
      <c r="E6" t="n">
        <v>16</v>
      </c>
      <c r="F6" s="3">
        <f>D6*E6</f>
        <v/>
      </c>
    </row>
    <row r="7">
      <c r="A7" t="inlineStr">
        <is>
          <t>Post-Release Monitoring and Rollback Readiness</t>
        </is>
      </c>
      <c r="B7" t="inlineStr">
        <is>
          <t>Monitor production stability and rollback readiness plans</t>
        </is>
      </c>
      <c r="C7" t="inlineStr">
        <is>
          <t>DevOps Engineer</t>
        </is>
      </c>
      <c r="D7" s="3" t="n">
        <v>104.0042</v>
      </c>
      <c r="E7" t="n">
        <v>10</v>
      </c>
      <c r="F7" s="3">
        <f>D7*E7</f>
        <v/>
      </c>
    </row>
    <row r="8">
      <c r="A8" t="inlineStr">
        <is>
          <t>Section Total</t>
        </is>
      </c>
      <c r="B8" t="inlineStr"/>
      <c r="C8" t="inlineStr"/>
      <c r="D8" s="3" t="inlineStr"/>
      <c r="E8">
        <f>SUM(E2:E7)</f>
        <v/>
      </c>
      <c r="F8" s="3">
        <f>SUM(F2:F7)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24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Roles</t>
        </is>
      </c>
      <c r="D1" s="1" t="inlineStr">
        <is>
          <t>Rate/HR</t>
        </is>
      </c>
      <c r="E1" s="1" t="inlineStr">
        <is>
          <t>Time</t>
        </is>
      </c>
      <c r="F1" s="1" t="inlineStr">
        <is>
          <t>Subtotal</t>
        </is>
      </c>
    </row>
    <row r="2">
      <c r="A2" t="inlineStr">
        <is>
          <t>Admin and Team Training</t>
        </is>
      </c>
      <c r="B2" t="inlineStr">
        <is>
          <t>Train administrators and key users on platform operations</t>
        </is>
      </c>
      <c r="C2" t="inlineStr">
        <is>
          <t>Product Manager</t>
        </is>
      </c>
      <c r="D2" s="3" t="n">
        <v>100.804</v>
      </c>
      <c r="E2" t="n">
        <v>16</v>
      </c>
      <c r="F2" s="3">
        <f>D2*E2</f>
        <v/>
      </c>
    </row>
    <row r="3">
      <c r="A3" t="inlineStr">
        <is>
          <t>Documentation and Runbook Authoring</t>
        </is>
      </c>
      <c r="B3" t="inlineStr">
        <is>
          <t>Prepare operational documentation and support runbooks</t>
        </is>
      </c>
      <c r="C3" t="inlineStr">
        <is>
          <t>Technical Writer</t>
        </is>
      </c>
      <c r="D3" s="3" t="n">
        <v>100.804</v>
      </c>
      <c r="E3" t="n">
        <v>24</v>
      </c>
      <c r="F3" s="3">
        <f>D3*E3</f>
        <v/>
      </c>
    </row>
    <row r="4">
      <c r="A4" t="inlineStr">
        <is>
          <t>Architecture and Knowledge Transfer</t>
        </is>
      </c>
      <c r="B4" t="inlineStr">
        <is>
          <t>Deliver technical architecture walkthrough and handover</t>
        </is>
      </c>
      <c r="C4" t="inlineStr">
        <is>
          <t>Technical Lead</t>
        </is>
      </c>
      <c r="D4" s="3" t="n">
        <v>100.804</v>
      </c>
      <c r="E4" t="n">
        <v>16</v>
      </c>
      <c r="F4" s="3">
        <f>D4*E4</f>
        <v/>
      </c>
    </row>
    <row r="5">
      <c r="A5" t="inlineStr">
        <is>
          <t>Post-Launch Support Window</t>
        </is>
      </c>
      <c r="B5" t="inlineStr">
        <is>
          <t>Provide structured post-launch issue resolution support</t>
        </is>
      </c>
      <c r="C5" t="inlineStr">
        <is>
          <t>Backend Developer</t>
        </is>
      </c>
      <c r="D5" s="3" t="n">
        <v>100.804</v>
      </c>
      <c r="E5" t="n">
        <v>20</v>
      </c>
      <c r="F5" s="3">
        <f>D5*E5</f>
        <v/>
      </c>
    </row>
    <row r="6">
      <c r="A6" t="inlineStr">
        <is>
          <t>Hypercare Bug Fixes and Stabilization</t>
        </is>
      </c>
      <c r="B6" t="inlineStr">
        <is>
          <t>Resolve early-production issues and stability improvements</t>
        </is>
      </c>
      <c r="C6" t="inlineStr">
        <is>
          <t>Frontend Developer</t>
        </is>
      </c>
      <c r="D6" s="3" t="n">
        <v>100.804</v>
      </c>
      <c r="E6" t="n">
        <v>18</v>
      </c>
      <c r="F6" s="3">
        <f>D6*E6</f>
        <v/>
      </c>
    </row>
    <row r="7">
      <c r="A7" t="inlineStr">
        <is>
          <t>Support Plan and Handover Closure</t>
        </is>
      </c>
      <c r="B7" t="inlineStr">
        <is>
          <t>Formalize support model and close project handover</t>
        </is>
      </c>
      <c r="C7" t="inlineStr">
        <is>
          <t>Product Manager</t>
        </is>
      </c>
      <c r="D7" s="3" t="n">
        <v>100.804</v>
      </c>
      <c r="E7" t="n">
        <v>16</v>
      </c>
      <c r="F7" s="3">
        <f>D7*E7</f>
        <v/>
      </c>
    </row>
    <row r="8">
      <c r="A8" t="inlineStr">
        <is>
          <t>Section Total</t>
        </is>
      </c>
      <c r="B8" t="inlineStr"/>
      <c r="C8" t="inlineStr"/>
      <c r="D8" s="3" t="inlineStr"/>
      <c r="E8">
        <f>SUM(E2:E7)</f>
        <v/>
      </c>
      <c r="F8" s="3">
        <f>SUM(F2:F7)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</cols>
  <sheetData>
    <row r="1">
      <c r="A1" s="1" t="inlineStr">
        <is>
          <t>Section</t>
        </is>
      </c>
      <c r="B1" s="1" t="inlineStr">
        <is>
          <t>Hours</t>
        </is>
      </c>
      <c r="C1" s="1" t="inlineStr">
        <is>
          <t>Subtotal</t>
        </is>
      </c>
    </row>
    <row r="2">
      <c r="A2" t="inlineStr">
        <is>
          <t>Scoping</t>
        </is>
      </c>
      <c r="B2" t="n">
        <v>120</v>
      </c>
      <c r="C2" s="3" t="n">
        <v>27937.12</v>
      </c>
    </row>
    <row r="3">
      <c r="A3" t="inlineStr">
        <is>
          <t>UX &amp; Design</t>
        </is>
      </c>
      <c r="B3" t="n">
        <v>170</v>
      </c>
      <c r="C3" s="3" t="n">
        <v>15912.64</v>
      </c>
    </row>
    <row r="4">
      <c r="A4" t="inlineStr">
        <is>
          <t>Frontend</t>
        </is>
      </c>
      <c r="B4" t="n">
        <v>320</v>
      </c>
      <c r="C4" s="3" t="n">
        <v>56210.24999999999</v>
      </c>
    </row>
    <row r="5">
      <c r="A5" t="inlineStr">
        <is>
          <t>Backend</t>
        </is>
      </c>
      <c r="B5" t="n">
        <v>300</v>
      </c>
      <c r="C5" s="3" t="n">
        <v>57794.3</v>
      </c>
    </row>
    <row r="6">
      <c r="A6" t="inlineStr">
        <is>
          <t>DevOps</t>
        </is>
      </c>
      <c r="B6" t="n">
        <v>120</v>
      </c>
      <c r="C6" s="3" t="n">
        <v>11136.45</v>
      </c>
    </row>
    <row r="7">
      <c r="A7" t="inlineStr">
        <is>
          <t>QA and Testing</t>
        </is>
      </c>
      <c r="B7" t="n">
        <v>140</v>
      </c>
      <c r="C7" s="3" t="n">
        <v>9520.380000000001</v>
      </c>
    </row>
    <row r="8">
      <c r="A8" t="inlineStr">
        <is>
          <t>Deployment and Hosting</t>
        </is>
      </c>
      <c r="B8" t="n">
        <v>100</v>
      </c>
      <c r="C8" s="3" t="n">
        <v>10400.42</v>
      </c>
    </row>
    <row r="9">
      <c r="A9" t="inlineStr">
        <is>
          <t>Handover and Support</t>
        </is>
      </c>
      <c r="B9" t="n">
        <v>110</v>
      </c>
      <c r="C9" s="3" t="n">
        <v>11088.44</v>
      </c>
    </row>
    <row r="10">
      <c r="A10" t="inlineStr">
        <is>
          <t>TOTAL</t>
        </is>
      </c>
      <c r="B10">
        <f>SUM(B2:B9)</f>
        <v/>
      </c>
      <c r="C10" s="3">
        <f>SUM(C2:C9)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2026-03-31T06:38:58Z</dcterms:created>
  <dcterms:modified xmlns:dcterms="http://purl.org/dc/terms/" xmlns:xsi="http://www.w3.org/2001/XMLSchema-instance" xsi:type="dcterms:W3CDTF">2026-03-31T06:38:58Z</dcterms:modified>
</cp:coreProperties>
</file>