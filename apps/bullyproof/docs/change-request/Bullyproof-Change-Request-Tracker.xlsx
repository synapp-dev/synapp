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<sst xmlns="http://schemas.openxmlformats.org/spreadsheetml/2006/main" count="469" uniqueCount="307">
  <si>
    <t>Item</t>
  </si>
  <si>
    <t>Section</t>
  </si>
  <si>
    <t>Feature</t>
  </si>
  <si>
    <t>Status</t>
  </si>
  <si>
    <t>Effort</t>
  </si>
  <si>
    <t>Days</t>
  </si>
  <si>
    <t>Day rate</t>
  </si>
  <si>
    <t>Price (AUD)</t>
  </si>
  <si>
    <t>Assessment</t>
  </si>
  <si>
    <t>Key files / paths</t>
  </si>
  <si>
    <t>1</t>
  </si>
  <si>
    <t>A. Admin — Home / Dashboard</t>
  </si>
  <si>
    <t>Admin landing / dashboard (to be replaced)</t>
  </si>
  <si>
    <t>EXISTS</t>
  </si>
  <si>
    <t>—</t>
  </si>
  <si>
    <t>The dashboard to be replaced is /dashboard (hero + 4 quick-action cards + 4 snapshot metric cards). /admin is a separate tools-launcher grid. Both render today. No build — replacement is captured by Items 2–9.</t>
  </si>
  <si>
    <t xml:space="preserve">app/(main)/dashboard/page.tsx
entities/dashboard/ui/admin/admin-dashboard.tsx
app/(main)/admin/page.tsx</t>
  </si>
  <si>
    <t>2</t>
  </si>
  <si>
    <t>Total Schools vs Active (onboarding-complete) Schools</t>
  </si>
  <si>
    <t>PARTIAL</t>
  </si>
  <si>
    <t>M</t>
  </si>
  <si>
    <t>Total schools and an “active licence” count exist. An “active = onboarding-complete” count and Ahead/Behind summary cards do not. resolveSchoolStatus() exists but is not aggregated into a dashboard summary.</t>
  </si>
  <si>
    <t xml:space="preserve">entities/dashboard/ui/admin/sections/overview/overview-section.tsx
entities/dashboard/ui/admin/sections/reports/reports-overview-content.tsx</t>
  </si>
  <si>
    <t>3</t>
  </si>
  <si>
    <t>Per-school schedule status (On / Ahead / Slightly Behind / Behind)</t>
  </si>
  <si>
    <t>MISSING</t>
  </si>
  <si>
    <t>XL</t>
  </si>
  <si>
    <t>No schedule engine, no term-calendar table, no cadence math anywhere in code. Fully designed in the redesign docs but zero implementation.</t>
  </si>
  <si>
    <t>docs/features/admin-dashboard-redesign/schedule-engine/ (design only)</t>
  </si>
  <si>
    <t>4</t>
  </si>
  <si>
    <t>“This School Year” / program-year selector (multi-year)</t>
  </si>
  <si>
    <t>L</t>
  </si>
  <si>
    <t>No multi-program-year selector anywhere. Reports have an all-schools / per-school scope combobox only. Depends on the program-year data model (Item 5).</t>
  </si>
  <si>
    <t>entities/dashboard/ui/admin/sections/reports/reports-layout-shell.tsx</t>
  </si>
  <si>
    <t>5</t>
  </si>
  <si>
    <t>Data model: each school’s initial year vs ongoing years</t>
  </si>
  <si>
    <t>L–XL</t>
  </si>
  <si>
    <t>No program/cohort-year concept exists. The existing schoolYears table is grade levels (Year 7 etc.), and schoolYearAssignments is which grade levels a school covers — not program years. schoolLicences has start dates but no “year 1 vs year 2” model.</t>
  </si>
  <si>
    <t>drizzle/schema.ts → schoolYears, schoolYearAssignments, schoolLicences</t>
  </si>
  <si>
    <t>6</t>
  </si>
  <si>
    <t>Sidebar items: Manage Schools / Lessons / AP Cert / Users</t>
  </si>
  <si>
    <t>S</t>
  </si>
  <si>
    <t>Present as quick-action cards (mostly shipped). Classes and Lessons admin items are currently disabled in config.</t>
  </si>
  <si>
    <t xml:space="preserve">entities/dashboard/ui/admin/sections/overview/overview-section.tsx
lib/admin-items.ts</t>
  </si>
  <si>
    <t>7</t>
  </si>
  <si>
    <t>Dashboard filters: state, school level, sector, AP level, status</t>
  </si>
  <si>
    <t>State / Sector / Status / Type filters exist on the /admin/schools table, not on a dashboard. No “AP level” filter and no Schedule filter (depends on Item 3).</t>
  </si>
  <si>
    <t>entities/dashboard/ui/admin/sections/schools/schools-section.tsx</t>
  </si>
  <si>
    <t>8</t>
  </si>
  <si>
    <t>Dashboard columns (Culture trend, AP Cert %, Students, Classes, Teacher History, Lessons %, Schedule, Last Activity, Action)</t>
  </si>
  <si>
    <t>Current columns: Status, Name (opens drawer), Level, State, Sector, Staff, Teachers, Classes. The 9 requested columns are specced but unbuilt; several need new aggregation + the schedule engine + a culture indicator. Total Students has no source column today.</t>
  </si>
  <si>
    <t xml:space="preserve">entities/dashboard/ui/admin/sections/schools/components/schools-table-columns.tsx
docs/features/admin-dashboard-redesign/plan.md §5</t>
  </si>
  <si>
    <t>9</t>
  </si>
  <si>
    <t>Drill-downs: Onboarding, Culture, AP Cert detail, Class, Lesson History, Teacher History</t>
  </si>
  <si>
    <t>M×4</t>
  </si>
  <si>
    <t>Onboarding / Culture / Class exist as drawer tabs. Lesson History, Teacher History, and per-school AP Cert % are missing. The Activity panel is a “coming soon” stub. Four drill-downs to build at ~M each.</t>
  </si>
  <si>
    <t>entities/dashboard/ui/admin/sections/schools/school-detail/panels/*</t>
  </si>
  <si>
    <t>10</t>
  </si>
  <si>
    <t>B. School Terms / Schedule Engine</t>
  </si>
  <si>
    <t>Settings → School Terms (per-state term dates, per year, annual reset)</t>
  </si>
  <si>
    <t>No term-date data model or settings UI. The states table is id/code/name only; schoolYears is grade levels, not calendar terms. Annual reset is deferred to a follow-up cron.</t>
  </si>
  <si>
    <t xml:space="preserve">docs/features/admin-dashboard-redesign/schedule-engine/tdd.md (design only)
no schoolTermCalendars table in drizzle/schema.ts</t>
  </si>
  <si>
    <t>11</t>
  </si>
  <si>
    <t>Term entry form (year/state/term dropdowns, date pickers, end-before-start validation)</t>
  </si>
  <si>
    <t>No component exists. Only a generic end ≥ start pattern exists elsewhere (culture benchmarks). Assumes the term table from Item 10 exists.</t>
  </si>
  <si>
    <t>(none — to be created under admin settings)</t>
  </si>
  <si>
    <t>12</t>
  </si>
  <si>
    <t>Schedule calculation engine (progress vs Term 2 cadence, by state terms)</t>
  </si>
  <si>
    <t>Fully TDD-specced (getTerm2Progress, computeClassSchedule, computeSchoolSchedule) but zero code — grep returns no implementation. School status = worst class; class status by lesson cadence vs week-of-term.</t>
  </si>
  <si>
    <t>docs/features/admin-dashboard-redesign/schedule-engine/tdd.md (spec only)</t>
  </si>
  <si>
    <t>13</t>
  </si>
  <si>
    <t>“Progress to End of Term 2” widget (current week, % elapsed by school days)</t>
  </si>
  <si>
    <t>Planned in the redesign plan (termProgress: weekOfTerm, percentElapsed). Only hardcoded “Term 1/2” copy exists today. UI-only once the engine (Item 12) exists.</t>
  </si>
  <si>
    <t>docs/features/admin-dashboard-redesign/plan.md (design only)</t>
  </si>
  <si>
    <t>14</t>
  </si>
  <si>
    <t>C. Culture Rating</t>
  </si>
  <si>
    <t>Data entry inputs (school days, attendance, absences, incidents, suspensions S/L, exclusions)</t>
  </si>
  <si>
    <t>All 8 requested inputs present exactly — numeric, min 0. Built and working; only minor tweaks.</t>
  </si>
  <si>
    <t xml:space="preserve">entities/dashboard/ui/admin/sections/culture/culture-rating-metrics-fields.tsx
entities/culture-rating/ui/school-culture-rating-data-form.tsx</t>
  </si>
  <si>
    <t>15</t>
  </si>
  <si>
    <t>Calculation / formulas with zero-input weighting</t>
  </si>
  <si>
    <t>Weighted headline formula built but flagged interim “fitted to the sample workbook — until the official Woodford mapping is finalised.” Zero-input handling is a null-guard (returns null) rather than a zeroed weight.</t>
  </si>
  <si>
    <t xml:space="preserve">lib/culture-rating-math.ts
server/culture-ratings/culture-rating-metrics.ts
server/culture-ratings/culture-ratings.service.ts</t>
  </si>
  <si>
    <t>16</t>
  </si>
  <si>
    <t>Benchmark + comparative periods (storage, rules: ≥20 days, overlap, post-program)</t>
  </si>
  <si>
    <t>≥20-school-days and non-overlap rules enforced; comparative must start after benchmark ends. The “post-program / all-lessons-delivered” rule is explicitly NOT enforced (TODO in code). Report-request → PDF upload → download flow is built.</t>
  </si>
  <si>
    <t xml:space="preserve">drizzle/schema.ts → schoolCultureBenchmarks, schoolCultureComparativePeriods
server/culture-ratings/culture-rating-periods.ts</t>
  </si>
  <si>
    <t>17</t>
  </si>
  <si>
    <t>UX: comparative-period dropdown + speedometer (±100%, expandable to 150/200%)</t>
  </si>
  <si>
    <t>Comparative-period dropdown is done. The gauge is a fixed 0–100 semicircle, not the signed ±100/150/200% improvement dial requested. The component itself notes it should be refined when the official mapping lands.</t>
  </si>
  <si>
    <t>entities/culture-rating/ui/culture-rating-comparison-dashboard.tsx (SemiCircleGauge)</t>
  </si>
  <si>
    <t>18</t>
  </si>
  <si>
    <t>D. Content Types (Multi-Curriculum)</t>
  </si>
  <si>
    <t>Add new Content Types / curricula (name, level count, level names)</t>
  </si>
  <si>
    <t>Two curricula are hardcoded as concepts (Curriculum and Certification). You can add a stage within the one curriculum, but cannot define a new content-type with its own level count / level names. No parent content-type table or content_type column exists.</t>
  </si>
  <si>
    <t xml:space="preserve">drizzle/schema.ts → curriculumStages, certificationCourses
entities/dashboard/ui/admin/sections/content/add-stage-sheet.tsx</t>
  </si>
  <si>
    <t>19</t>
  </si>
  <si>
    <t>Per-content-type lesson creation / upload</t>
  </si>
  <si>
    <t>Full slide/lesson authoring exists, but only for the two fixed trees. No mechanism to spin up authoring for a new content type.</t>
  </si>
  <si>
    <t xml:space="preserve">app/api/topic-slides/bulk-save/route.ts
app/api/certification/topics/[topicId]/slides/bulk/route.ts</t>
  </si>
  <si>
    <t>20</t>
  </si>
  <si>
    <t>Content Type dropdown on Add New School</t>
  </si>
  <si>
    <t>The add-school wizard has Name / Level / State / Sector only. The schools table has no content-type FK. Depends on Item 18 existing first.</t>
  </si>
  <si>
    <t>entities/dashboard/ui/admin/sections/schools/components/add-school-wizard.tsx</t>
  </si>
  <si>
    <t>21</t>
  </si>
  <si>
    <t>Per-content-type resources</t>
  </si>
  <si>
    <t>Resources scope to global vs a specific school and can be tagged to curriculum topics, but there is no link to a content-type level. (S if content-type is derived from the linked topic.)</t>
  </si>
  <si>
    <t>drizzle/schema.ts → resourceFiles, resourceFileTopics, resourceFolders</t>
  </si>
  <si>
    <t>22</t>
  </si>
  <si>
    <t>E. Content Management / Security</t>
  </si>
  <si>
    <t>MFA on content edits (email verification code before saving)</t>
  </si>
  <si>
    <t>Content edits are gated by feature permission (checkFeatureAccess) only. OTP exists at login only — never on a save action. No step-up verification.</t>
  </si>
  <si>
    <t>23</t>
  </si>
  <si>
    <t>Sole-content-editor / content-edit permission model</t>
  </si>
  <si>
    <t>S–M</t>
  </si>
  <si>
    <t>A flexible permission gate exists (per global/role/school/user). There is no exclusive “single designated editor” lock or ownership field; multiple users can hold the permission.</t>
  </si>
  <si>
    <t xml:space="preserve">server/features/features.service.ts
drizzle/schema.ts → features, featurePermissions, permissionTemplates
app/(main)/admin/features/</t>
  </si>
  <si>
    <t>24</t>
  </si>
  <si>
    <t>Content audit log (create/edit/delete; date, user, event, content, version; comments)</t>
  </si>
  <si>
    <t>The audit-logs admin page is a placeholder stub. No app-level audit table; content mutations only console.log (“audit trail” comments are just logging).</t>
  </si>
  <si>
    <t>app/(main)/admin/audit-logs/page.tsx (stub)</t>
  </si>
  <si>
    <t>25</t>
  </si>
  <si>
    <t>Version numbers + last-updated/updated-by per lesson/module; report; read-only retention</t>
  </si>
  <si>
    <t>No version numbering anywhere on content; no updated-by attribution on topics/slides/lessons/courses; no historical retention. Some tables carry updatedAt timestamps only.</t>
  </si>
  <si>
    <t>drizzle/schema.ts → topics, topicSlides, lessons, courseTopics (no version/updatedBy)</t>
  </si>
  <si>
    <t>26</t>
  </si>
  <si>
    <t>F. Getting Started Videos</t>
  </si>
  <si>
    <t>Role-based getting-started videos (autoplay first login, sidebar replay, add/replace)</t>
  </si>
  <si>
    <t>One global welcome video with a binary completion flag. Not role-based, does not autoplay (requires click), no replay entry point, and not admin-manageable (URL is a hardcoded constant).</t>
  </si>
  <si>
    <t xml:space="preserve">app/(main)/welcome/page.tsx (hardcoded Vimeo URL)
components/organisms/vimeo-player.tsx
app/api/me/tutorials/route.ts</t>
  </si>
  <si>
    <t>27</t>
  </si>
  <si>
    <t>G. Add New School</t>
  </si>
  <si>
    <t>“Other” school level allowing arbitrary grade mixes (P-7, P-8)</t>
  </si>
  <si>
    <t>Levels are a fixed two-value enum (primary/secondary, with “Both” mapping to both). A DB CHECK constraint restricts the key. Grades bind to a level, so true arbitrary mixes are non-trivial.</t>
  </si>
  <si>
    <t xml:space="preserve">components/molecules/invite-new-school-dialog.tsx:78
drizzle/schema.ts:1420 (school_levels_key_chk)</t>
  </si>
  <si>
    <t>28</t>
  </si>
  <si>
    <t>H. Roles / Access Levels</t>
  </si>
  <si>
    <t>Rename “Roles” → “Access Levels” throughout; show only highest level per user</t>
  </si>
  <si>
    <t>Today the UI shows all roles, labelled “Roles” (~15 files). Rename is mechanical; “highest-only” can reuse existing priority maps (no migration).</t>
  </si>
  <si>
    <t xml:space="preserve">lib/platform-role-order.ts
components/atoms/role-badges.tsx
app/(main)/admin/users/*</t>
  </si>
  <si>
    <t>29</t>
  </si>
  <si>
    <t>“Amayda” access tier above Bullyproof Admin</t>
  </si>
  <si>
    <t>AMAYDA exists only as course/certification content, never as a role/scope. Above PLATFORM_ADMIN there is only the internal INTRADARK_DEV. Role keys are hardcoded across many files.</t>
  </si>
  <si>
    <t xml:space="preserve">server/reports/admin-reports.service.ts (AMAYDA_SLUG)
server/roles/roles.repo.ts
server/auth/rbac.ts</t>
  </si>
  <si>
    <t>30</t>
  </si>
  <si>
    <t>School Licence account able to add/edit users (currently setup-only?)</t>
  </si>
  <si>
    <t>User management is ongoing (a permanent settings page), not setup-only — but it is restricted to SCHOOL_ADMIN. SCHOOL_LICENCE is blocked server-side and is role-exclusive.</t>
  </si>
  <si>
    <t xml:space="preserve">server/lib/can-manage-school-users.ts
scripts/enforce-school-licence-constraints.sql
app/(main)/schools/[school_id]/settings/users/</t>
  </si>
  <si>
    <t>31</t>
  </si>
  <si>
    <t>I. Branding</t>
  </si>
  <si>
    <t>Logo/icon: BP → BA everywhere, animated logo, icon variants</t>
  </si>
  <si>
    <t>Goodwill - included at no charge (module M8 Brand Refresh). Effort kept; price $0. Two static logo variants (full/mark) chosen by a ternary. No animated logo, no PWA/icon variant set, no central brand constant or &lt;Logo&gt; component. “Bullyproof” is hardcoded ~250 times across 83 files.</t>
  </si>
  <si>
    <t xml:space="preserve">public/images/bullyproof-logo.svg, bp-small-logo.svg
components/organisms/app-sidebar.tsx
utils/metadata.ts</t>
  </si>
  <si>
    <t>32</t>
  </si>
  <si>
    <t>J. AP Certificate</t>
  </si>
  <si>
    <t>Certificate generation on course completion; accessible/downloadable</t>
  </si>
  <si>
    <t>A styled on-screen “AP Certified” card appears at 100% completion, but there is no PDF / print / image export and no persisted artifact. markCertificateIssued is defined but never called.</t>
  </si>
  <si>
    <t xml:space="preserve">components/molecules/topic-certificate.tsx
app/(main)/courses/[course_name]/page.tsx:734
server/course-progress/course-progress.repo.ts:156</t>
  </si>
  <si>
    <t>33</t>
  </si>
  <si>
    <t>Uploadable/replaceable certificate template with fields (name, date, optional cert number)</t>
  </si>
  <si>
    <t>Design, program name and badge are hardcoded in one component. No admin upload/config UI, no certificate_templates table, no cert-number field, no storage bucket.</t>
  </si>
  <si>
    <t xml:space="preserve">components/molecules/topic-certificate.tsx (hardcoded JSX)
drizzle/schema.ts:1151 (certificate_type label only)</t>
  </si>
  <si>
    <t>34</t>
  </si>
  <si>
    <t>K. Reports (Admin)</t>
  </si>
  <si>
    <t>Reports: School Status, Lesson Completion &amp; Ratings, Culture Rating, AP Certification &amp; Ratings</t>
  </si>
  <si>
    <t>Coverage exists but is split across /admin/reports, /admin/ratings and /admin/culture-ratings as raw counts (not %). Not unified/named as the four reports; no “School Status” report.</t>
  </si>
  <si>
    <t xml:space="preserve">app/(main)/admin/reports/{overview,certification,onboarding,lessons}
app/(main)/admin/ratings/
app/(main)/admin/culture-ratings/</t>
  </si>
  <si>
    <t>35</t>
  </si>
  <si>
    <t>Per-report Filters panel + Export modal (CSV/Excel/PDF), export scope</t>
  </si>
  <si>
    <t>M–L</t>
  </si>
  <si>
    <t>Reports have only a school-scope combobox. No filters panel and no export anywhere in admin (no jsPDF/exceljs/xlsx libs present). Export infrastructure is net-new.</t>
  </si>
  <si>
    <t>36</t>
  </si>
  <si>
    <t>Government stakeholder dashboards / reporting</t>
  </si>
  <si>
    <t>The government dashboard is a placeholder text stub; the roles/government page is a static marketing mock with non-functional buttons. No live gov reporting view.</t>
  </si>
  <si>
    <t xml:space="preserve">entities/dashboard/ui/government/government-dashboard.tsx (stub)
app/(main)/support/roles/government/page.tsx (static)</t>
  </si>
  <si>
    <t>37</t>
  </si>
  <si>
    <t>Exclude “Bullyproof Academy” test school from reports</t>
  </si>
  <si>
    <t>The seeded academy (60 classes) is counted in all reports/metrics. No test-school flag column and no exclusion filter exist.</t>
  </si>
  <si>
    <t xml:space="preserve">drizzle/0014_seed_bullyproof_academy_60_classes.sql
server/reports/admin-reports.repo.ts</t>
  </si>
  <si>
    <t>38</t>
  </si>
  <si>
    <t>L. Onboarding</t>
  </si>
  <si>
    <t>Onboarding checklist: Benchmark received, Jeff Horn visit, Practical Training, Onboarding Session (dates + active/locked)</t>
  </si>
  <si>
    <t>The current checklist is Essential (Licence/Admin/Staff/Classes) + Optional (domain/address/banner/avatar). None of the requested service-delivery steps exist, and there are no completion-date fields — steps are boolean-derived from counts.</t>
  </si>
  <si>
    <t>entities/dashboard/ui/admin/sections/schools/school-detail/panels/school-onboarding-panel.tsx</t>
  </si>
  <si>
    <t>39</t>
  </si>
  <si>
    <t>(defect) School Address &amp; Email Domain not saving on edit</t>
  </si>
  <si>
    <t>The full persistence chain (form → validator → repo) is intact for both fields; the defect appears already fixed in current code. Verify-only / regression.</t>
  </si>
  <si>
    <t xml:space="preserve">entities/school/ui/school-details-form.tsx
server/school/school.validators.ts
server/school/school.repo.ts:452</t>
  </si>
  <si>
    <t>40</t>
  </si>
  <si>
    <t>(defect/UX) Apply Template visual confirmation (Template Active / green)</t>
  </si>
  <si>
    <t>A success toast fires on apply, but there is no persistent “Template Active” badge on the card or per-school, and the dialog re-opens with an empty selection (no memory of which schools already have it).</t>
  </si>
  <si>
    <t>app/(main)/admin/features/permission-templates/page.tsx</t>
  </si>
  <si>
    <t>41</t>
  </si>
  <si>
    <t>(defect) Activity / Licence / Feature Access buttons non-functional</t>
  </si>
  <si>
    <t>Mixed: Licence and Feature Access panels are fully wired (verify only). The Activity panel is a hardcoded “coming soon” stub — the only genuinely non-functional one, and a real activity-feed build (~L).</t>
  </si>
  <si>
    <t xml:space="preserve">panels/school-licence-panel.tsx (✓)
panels/school-features-tab.tsx (✓)
panels/school-activity-panel.tsx (stub)</t>
  </si>
  <si>
    <t>42</t>
  </si>
  <si>
    <t>Add Class: capture student numbers (Class Size field)</t>
  </si>
  <si>
    <t>The field exists on Edit Class (“Class Size” → studentCap) and in the table, but is absent from the Add Class dialog. It is a capacity, not enrolled count.</t>
  </si>
  <si>
    <t xml:space="preserve">entities/dashboard/ui/admin/sections/schools/school-detail/panels/school-classes-panel.tsx
drizzle/schema.ts:1236 (studentCap)</t>
  </si>
  <si>
    <t>43</t>
  </si>
  <si>
    <t>M. School Portal</t>
  </si>
  <si>
    <t>Remove Dashboard; role-based Home pages (Staff / AP Teacher / School Admin)</t>
  </si>
  <si>
    <t>/home renders one identical layout for all roles (feature-gated only). The real role-branching logic lives in the still-present /dashboard, which is the reference pattern to port and then remove.</t>
  </si>
  <si>
    <t xml:space="preserve">app/(main)/schools/[school_id]/home/page.tsx
app/(main)/dashboard/page.tsx</t>
  </si>
  <si>
    <t>44</t>
  </si>
  <si>
    <t>Remove Ctrl+K command menu; keep light/dark toggle</t>
  </si>
  <si>
    <t>The Ctrl+K command menu is still mounted in the header. The light/dark toggle already exists. Removal is just deleting the mount + component.</t>
  </si>
  <si>
    <t xml:space="preserve">components/molecules/command-menu.tsx
components/organisms/app-header.tsx:190</t>
  </si>
  <si>
    <t>45</t>
  </si>
  <si>
    <t>Rename Content → Preview Lessons, Lessons → Teach Lessons</t>
  </si>
  <si>
    <t>The sidebar is renamed, but stale labels remain: the page headers still read “Content” and “Lessons” and the breadcrumb auto-capitalises the URL segment with no override.</t>
  </si>
  <si>
    <t xml:space="preserve">app/(main)/schools/[school_id]/content/page.tsx:61
app/(main)/schools/[school_id]/lessons/page.tsx:620
components/molecules/breadcrumb.tsx</t>
  </si>
  <si>
    <t>46</t>
  </si>
  <si>
    <t>Sidebar hover tooltips / screen-tips</t>
  </si>
  <si>
    <t>Nav items already carry tooltips (shown when collapsed); locked items swap to a “Locked” message. Done — copy tuning only.</t>
  </si>
  <si>
    <t>components/organisms/nav-main.tsx (tooltip={title})</t>
  </si>
  <si>
    <t>47</t>
  </si>
  <si>
    <t>Reports page message “available soon”</t>
  </si>
  <si>
    <t>The school reports page is a single “Coming Soon — available after Term 1” card. None of the requested reports exist. (See Item 59.)</t>
  </si>
  <si>
    <t>app/(main)/schools/[school_id]/reports/reports-page-client.tsx</t>
  </si>
  <si>
    <t>48</t>
  </si>
  <si>
    <t>AP Certification page states (Start / Continue / Course Completed)</t>
  </si>
  <si>
    <t>Rich per-topic CTA states are already computed (Begin/Continue, Start/Continue/Retake Quiz, Review slides). There is no single course-level Start/Continue/Completed button; completion swaps in the certificate card.</t>
  </si>
  <si>
    <t>app/(main)/courses/[course_name]/page.tsx</t>
  </si>
  <si>
    <t>49</t>
  </si>
  <si>
    <t>Teachers list as sortable columns + take-over-lesson workflow</t>
  </si>
  <si>
    <t>Teachers render as a card grid with fixed sort — not sortable columns (a table rebuild, ~L). The take-over-lesson workflow is already fully built and feature-gated.</t>
  </si>
  <si>
    <t xml:space="preserve">app/(main)/schools/[school_id]/teachers/teachers-page-client.tsx
components/molecules/take-over-lesson-dialog.tsx
app/api/lessons/[id]/take-over/route.ts</t>
  </si>
  <si>
    <t>50</t>
  </si>
  <si>
    <t>Classes page star toggle (My Classes / Other Classes)</t>
  </si>
  <si>
    <t>Star toggle persists via meApi.teacherClasses.toggle; the page splits into My/Other sections with an All/My/Other filter. Built and working.</t>
  </si>
  <si>
    <t>app/(main)/schools/[school_id]/classes/page.tsx</t>
  </si>
  <si>
    <t>51</t>
  </si>
  <si>
    <t>Teach Lessons defects (blank-screen, multi-level guidance, take-over, back-to-lesson)</t>
  </si>
  <si>
    <t>Multi-level guidance and take-over are built. Residual: a blank state when recommendation resolves null with no multi-stage warning; “Back to lesson” hardcodes /prepare (dead-end loop for completed lessons); history page is dummy data.</t>
  </si>
  <si>
    <t xml:space="preserve">components/organisms/lesson-wizard*.tsx
app/(main)/schools/[school_id]/lessons/[lesson_id]/run-lesson/page.tsx</t>
  </si>
  <si>
    <t>52</t>
  </si>
  <si>
    <t>Start Now vs Schedule lesson flow; scheduling (date/time, start previously-scheduled)</t>
  </si>
  <si>
    <t>Both capabilities exist but are split: the wizard offers Prepare/Start only, while scheduling lives post-creation on prepare/run-lesson. The standalone schedule component is orphaned/dead code, and logic is duplicated.</t>
  </si>
  <si>
    <t xml:space="preserve">components/organisms/lesson-wizard-schedule.tsx (orphaned)
app/(main)/schools/[school_id]/lessons/[lesson_id]/prepare/page.tsx</t>
  </si>
  <si>
    <t>53</t>
  </si>
  <si>
    <t>Lesson recommendation issues (year ordering, loop to L1 after L10, only 3 showing, wrong lesson for mixed levels)</t>
  </si>
  <si>
    <t>Stage-complete is handled (no silent wrap to L1). Mixed-level classes resolve to the LOWEST matching stage — the likely source of “wrong recommended lesson”. The “only 3 lessons” cap is a UI limit, not the API.</t>
  </si>
  <si>
    <t xml:space="preserve">server/lessons/recommendation-engine.ts
app/api/lessons/recommendations/route.ts</t>
  </si>
  <si>
    <t>54</t>
  </si>
  <si>
    <t>“Start new calendar year” reset (push classes to L1, archive prior-year audit logs)</t>
  </si>
  <si>
    <t>Backlog only (Sprint 8 in the admin-portal sprint doc) plus informational copy in the UI. No reset / promote / archive code exists.</t>
  </si>
  <si>
    <t>docs/sprints/admin-portal-sprint-jun-2026.md (planned)</t>
  </si>
  <si>
    <t>55</t>
  </si>
  <si>
    <t>Lesson feedback: mandatory-rating note; default-to-5-stars option</t>
  </si>
  <si>
    <t>Rating is required (UI + API). There is no default-to-5-stars option — initial state is null (“Click a star to rate”).</t>
  </si>
  <si>
    <t xml:space="preserve">components/organisms/lesson-feedback-form.tsx
server/lesson-feedback/lesson-feedback.validators.ts</t>
  </si>
  <si>
    <t>56</t>
  </si>
  <si>
    <t>Performance page (enter / view comparative periods)</t>
  </si>
  <si>
    <t>Feature-gated; renders a view-only culture-rating comparison (benchmark vs comparative). Period entry happens on settings/culture-rating, not here. No general comparative metrics.</t>
  </si>
  <si>
    <t xml:space="preserve">app/(main)/schools/[school_id]/performance/performance-page-client.tsx
entities/culture-rating/ui/culture-rating-comparison-dashboard.tsx</t>
  </si>
  <si>
    <t>57</t>
  </si>
  <si>
    <t>Settings/Users, Settings/Classes (student numbers), Settings/Certification renames</t>
  </si>
  <si>
    <t>Users = full management. Classes = “Class Size” on Edit only (a cap, not enrolled count, and absent from Add). Certification = read-only status table; no rename/edit of certifications/topics/stages.</t>
  </si>
  <si>
    <t>app/(main)/schools/[school_id]/settings/{users,classes,certification}/</t>
  </si>
  <si>
    <t>58</t>
  </si>
  <si>
    <t>Support button → mailto support@bullyproofaustralia.org.au (+cc)</t>
  </si>
  <si>
    <t>Verified: mailto support@bullyproofaustralia.org.au with cc jeff@… and Glenn@…. Wired into the sidebar Support item. Done.</t>
  </si>
  <si>
    <t>lib/support.ts (SUPPORT_MAILTO)</t>
  </si>
  <si>
    <t>59</t>
  </si>
  <si>
    <t>School-admin reports: AP Certified Staff, AP Teacher, Class, Culture Rating (current + previous years)</t>
  </si>
  <si>
    <t>None of the four named reports exist, and there is no current/previous-year selector. (A separate culture-rating report request/download flow exists under settings.)</t>
  </si>
  <si>
    <t>app/(main)/schools/[school_id]/reports/reports-page-client.tsx (stub)</t>
  </si>
  <si>
    <t>60</t>
  </si>
  <si>
    <t>N. Documentation</t>
  </si>
  <si>
    <t>Admin User Guide + System Administrator Guide (Word)</t>
  </si>
  <si>
    <t>No end-user or system-administrator guide exists. docs/ holds only developer/internal material; support/resources shows a placeholder “User Guides” card with no linked files.</t>
  </si>
  <si>
    <t xml:space="preserve">docs/** (developer material only)
app/(main)/support/resources/page.tsx (placeholder)</t>
  </si>
  <si>
    <t>TOTAL</t>
  </si>
  <si>
    <t>Bullyproof — Change Request · Cost roll-up</t>
  </si>
  <si>
    <t>Day rate (AUD)</t>
  </si>
  <si>
    <t>Basis</t>
  </si>
  <si>
    <t>Market contract rate for a senior full-stack (React/Next.js) developer billing direct as a company, AU FY25/26. Quoted ex-GST; add 10% GST on invoice. Edit cell C3 to reprice — every total recalculates.</t>
  </si>
  <si>
    <t>Sec</t>
  </si>
  <si>
    <t>Items</t>
  </si>
  <si>
    <t>A</t>
  </si>
  <si>
    <t>Admin — Home / Dashboard</t>
  </si>
  <si>
    <t>B</t>
  </si>
  <si>
    <t>School Terms / Schedule Engine</t>
  </si>
  <si>
    <t>C</t>
  </si>
  <si>
    <t>Culture Rating</t>
  </si>
  <si>
    <t>D</t>
  </si>
  <si>
    <t>Content Types (Multi-Curriculum)</t>
  </si>
  <si>
    <t>E</t>
  </si>
  <si>
    <t>Content Management / Security</t>
  </si>
  <si>
    <t>F</t>
  </si>
  <si>
    <t>Getting Started Videos</t>
  </si>
  <si>
    <t>G</t>
  </si>
  <si>
    <t>Add New School</t>
  </si>
  <si>
    <t>H</t>
  </si>
  <si>
    <t>Roles / Access Levels</t>
  </si>
  <si>
    <t>I</t>
  </si>
  <si>
    <t>Branding (incl. M8 goodwill - no charge)</t>
  </si>
  <si>
    <t>J</t>
  </si>
  <si>
    <t>AP Certificate</t>
  </si>
  <si>
    <t>K</t>
  </si>
  <si>
    <t>Reports (Admin)</t>
  </si>
  <si>
    <t>Onboarding</t>
  </si>
  <si>
    <t>School Portal</t>
  </si>
  <si>
    <t>N</t>
  </si>
  <si>
    <t>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</si>
</sst>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1E8449"/>
    </font>
    <font>
      <b/>
      <color rgb="FFB9770E"/>
    </font>
    <font>
      <b/>
      <color rgb="FFB03A2E"/>
    </font>
    <font>
      <b/>
      <color rgb="FFFFFFFF"/>
    </font>
    <font>
      <b/>
    </font>
    <font>
      <b/>
      <color rgb="FF1B4F72"/>
    </font>
    <font>
      <b/>
      <color rgb="FF1B4F72"/>
      <sz val="14"/>
    </font>
    <font>
      <i/>
      <color rgb="FF5B6B79"/>
      <sz val="10"/>
    </font>
  </fonts>
  <fills count="7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EFF4F9"/>
      </patternFill>
    </fill>
    <fill>
      <patternFill patternType="solid">
        <fgColor rgb="FFE8F6EF"/>
      </patternFill>
    </fill>
    <fill>
      <patternFill patternType="solid">
        <fgColor rgb="FFFCF3E3"/>
      </patternFill>
    </fill>
    <fill>
      <patternFill patternType="solid">
        <fgColor rgb="FFFBEAE7"/>
      </patternFill>
    </fill>
  </fills>
  <borders count="2">
    <border>
      <left/>
      <right/>
      <top/>
      <bottom/>
      <diagonal/>
    </border>
    <border>
      <left style="hair">
        <color rgb="FFEEEEEE"/>
      </left>
      <right style="hair">
        <color rgb="FFEEEEEE"/>
      </right>
      <top style="hair">
        <color rgb="FFDDDDDD"/>
      </top>
      <bottom style="hair">
        <color rgb="FFDDDDDD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 vertical="top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/>
    </xf>
    <xf numFmtId="3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5" borderId="1" xfId="0" applyFont="1" applyFill="1" applyBorder="1" applyAlignment="1">
      <alignment horizontal="center" vertical="top"/>
    </xf>
    <xf numFmtId="0" fontId="4" fillId="6" borderId="1" xfId="0" applyFont="1" applyFill="1" applyBorder="1" applyAlignment="1">
      <alignment horizontal="center" vertical="top"/>
    </xf>
    <xf numFmtId="0" fontId="0" fillId="2" borderId="0" xfId="0" applyFill="1"/>
    <xf numFmtId="0" fontId="5" fillId="2" borderId="1" xfId="0" applyFont="1" applyFill="1" applyBorder="1"/>
    <xf numFmtId="164" fontId="6" fillId="0" borderId="1" xfId="0" applyNumberFormat="1" applyFont="1" applyBorder="1" applyAlignment="1">
      <alignment horizontal="center"/>
    </xf>
    <xf numFmtId="3" fontId="7" fillId="0" borderId="1" xfId="0" applyNumberFormat="1" applyFont="1" applyBorder="1"/>
    <xf numFmtId="0" fontId="8" fillId="0" borderId="0" xfId="0" applyFont="1"/>
    <xf numFmtId="0" fontId="6" fillId="0" borderId="0" xfId="0" applyFont="1"/>
    <xf numFmtId="3" fontId="0" fillId="0" borderId="0" xfId="0" applyNumberFormat="1"/>
    <xf numFmtId="0" fontId="9" fillId="0" borderId="0" xfId="0" applyFont="1" applyAlignment="1">
      <alignment wrapText="1"/>
    </xf>
    <xf numFmtId="0" fontId="5" fillId="2" borderId="0" xfId="0" applyFont="1" applyFill="1"/>
    <xf numFmtId="0" fontId="7" fillId="0" borderId="0" xfId="0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7" fillId="3" borderId="0" xfId="0" applyFont="1" applyFill="1"/>
    <xf numFmtId="0" fontId="0" fillId="3" borderId="0" xfId="0" applyFill="1"/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3" fontId="0" fillId="3" borderId="0" xfId="0" applyNumberFormat="1" applyFill="1"/>
    <xf numFmtId="0" fontId="5" fillId="2" borderId="0" xfId="0" applyFont="1" applyFill="1" applyAlignment="1">
      <alignment horizontal="center"/>
    </xf>
    <xf numFmtId="164" fontId="5" fillId="2" borderId="0" xfId="0" applyNumberFormat="1" applyFont="1" applyFill="1" applyAlignment="1">
      <alignment horizontal="center"/>
    </xf>
    <xf numFmtId="3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26" customWidth="1"/>
    <col min="3" max="3" width="52" customWidth="1"/>
    <col min="4" max="4" width="11" customWidth="1"/>
    <col min="6" max="6" width="7" customWidth="1"/>
    <col min="7" max="7" width="11" customWidth="1"/>
    <col min="8" max="8" width="14" customWidth="1"/>
    <col min="9" max="9" width="70" customWidth="1"/>
    <col min="10" max="10" width="60" customWidth="1"/>
  </cols>
  <sheetData>
    <row r="1" ht="22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25">
      <c r="A2" s="3" t="s">
        <v>10</v>
      </c>
      <c r="B2" s="4" t="s">
        <v>11</v>
      </c>
      <c r="C2" s="4" t="s">
        <v>12</v>
      </c>
      <c r="D2" s="5" t="s">
        <v>13</v>
      </c>
      <c r="E2" s="3" t="s">
        <v>14</v>
      </c>
      <c r="F2" s="3">
        <v>0</v>
      </c>
      <c r="G2" s="6">
        <v>1100</v>
      </c>
      <c r="H2" s="6">
        <f>F2*G2</f>
      </c>
      <c r="I2" s="4" t="s">
        <v>15</v>
      </c>
      <c r="J2" s="4" t="s">
        <v>16</v>
      </c>
    </row>
    <row r="3" spans="1:10" s="2" customFormat="1" x14ac:dyDescent="0.25">
      <c r="A3" s="3" t="s">
        <v>17</v>
      </c>
      <c r="B3" s="7" t="s">
        <v>11</v>
      </c>
      <c r="C3" s="7" t="s">
        <v>18</v>
      </c>
      <c r="D3" s="8" t="s">
        <v>19</v>
      </c>
      <c r="E3" s="3" t="s">
        <v>20</v>
      </c>
      <c r="F3" s="3">
        <v>3.5</v>
      </c>
      <c r="G3" s="6">
        <v>1100</v>
      </c>
      <c r="H3" s="6">
        <f>F3*G3</f>
      </c>
      <c r="I3" s="7" t="s">
        <v>21</v>
      </c>
      <c r="J3" s="7" t="s">
        <v>22</v>
      </c>
    </row>
    <row r="4" spans="1:10" s="2" customFormat="1" x14ac:dyDescent="0.25">
      <c r="A4" s="3" t="s">
        <v>23</v>
      </c>
      <c r="B4" s="4" t="s">
        <v>11</v>
      </c>
      <c r="C4" s="4" t="s">
        <v>24</v>
      </c>
      <c r="D4" s="9" t="s">
        <v>25</v>
      </c>
      <c r="E4" s="3" t="s">
        <v>26</v>
      </c>
      <c r="F4" s="3">
        <v>15</v>
      </c>
      <c r="G4" s="6">
        <v>1100</v>
      </c>
      <c r="H4" s="6">
        <f>F4*G4</f>
      </c>
      <c r="I4" s="4" t="s">
        <v>27</v>
      </c>
      <c r="J4" s="4" t="s">
        <v>28</v>
      </c>
    </row>
    <row r="5" spans="1:10" s="2" customFormat="1" x14ac:dyDescent="0.25">
      <c r="A5" s="3" t="s">
        <v>29</v>
      </c>
      <c r="B5" s="7" t="s">
        <v>11</v>
      </c>
      <c r="C5" s="7" t="s">
        <v>30</v>
      </c>
      <c r="D5" s="9" t="s">
        <v>25</v>
      </c>
      <c r="E5" s="3" t="s">
        <v>31</v>
      </c>
      <c r="F5" s="3">
        <v>7.5</v>
      </c>
      <c r="G5" s="6">
        <v>1100</v>
      </c>
      <c r="H5" s="6">
        <f>F5*G5</f>
      </c>
      <c r="I5" s="7" t="s">
        <v>32</v>
      </c>
      <c r="J5" s="7" t="s">
        <v>33</v>
      </c>
    </row>
    <row r="6" spans="1:10" s="2" customFormat="1" x14ac:dyDescent="0.25">
      <c r="A6" s="3" t="s">
        <v>34</v>
      </c>
      <c r="B6" s="4" t="s">
        <v>11</v>
      </c>
      <c r="C6" s="4" t="s">
        <v>35</v>
      </c>
      <c r="D6" s="9" t="s">
        <v>25</v>
      </c>
      <c r="E6" s="3" t="s">
        <v>36</v>
      </c>
      <c r="F6" s="3">
        <v>12</v>
      </c>
      <c r="G6" s="6">
        <v>1100</v>
      </c>
      <c r="H6" s="6">
        <f>F6*G6</f>
      </c>
      <c r="I6" s="4" t="s">
        <v>37</v>
      </c>
      <c r="J6" s="4" t="s">
        <v>38</v>
      </c>
    </row>
    <row r="7" spans="1:10" s="2" customFormat="1" x14ac:dyDescent="0.25">
      <c r="A7" s="3" t="s">
        <v>39</v>
      </c>
      <c r="B7" s="7" t="s">
        <v>11</v>
      </c>
      <c r="C7" s="7" t="s">
        <v>40</v>
      </c>
      <c r="D7" s="5" t="s">
        <v>13</v>
      </c>
      <c r="E7" s="3" t="s">
        <v>41</v>
      </c>
      <c r="F7" s="3">
        <v>1</v>
      </c>
      <c r="G7" s="6">
        <v>1100</v>
      </c>
      <c r="H7" s="6">
        <f>F7*G7</f>
      </c>
      <c r="I7" s="7" t="s">
        <v>42</v>
      </c>
      <c r="J7" s="7" t="s">
        <v>43</v>
      </c>
    </row>
    <row r="8" spans="1:10" s="2" customFormat="1" x14ac:dyDescent="0.25">
      <c r="A8" s="3" t="s">
        <v>44</v>
      </c>
      <c r="B8" s="4" t="s">
        <v>11</v>
      </c>
      <c r="C8" s="4" t="s">
        <v>45</v>
      </c>
      <c r="D8" s="8" t="s">
        <v>19</v>
      </c>
      <c r="E8" s="3" t="s">
        <v>20</v>
      </c>
      <c r="F8" s="3">
        <v>3.5</v>
      </c>
      <c r="G8" s="6">
        <v>1100</v>
      </c>
      <c r="H8" s="6">
        <f>F8*G8</f>
      </c>
      <c r="I8" s="4" t="s">
        <v>46</v>
      </c>
      <c r="J8" s="4" t="s">
        <v>47</v>
      </c>
    </row>
    <row r="9" spans="1:10" s="2" customFormat="1" x14ac:dyDescent="0.25">
      <c r="A9" s="3" t="s">
        <v>48</v>
      </c>
      <c r="B9" s="7" t="s">
        <v>11</v>
      </c>
      <c r="C9" s="7" t="s">
        <v>49</v>
      </c>
      <c r="D9" s="8" t="s">
        <v>19</v>
      </c>
      <c r="E9" s="3" t="s">
        <v>36</v>
      </c>
      <c r="F9" s="3">
        <v>12</v>
      </c>
      <c r="G9" s="6">
        <v>1100</v>
      </c>
      <c r="H9" s="6">
        <f>F9*G9</f>
      </c>
      <c r="I9" s="7" t="s">
        <v>50</v>
      </c>
      <c r="J9" s="7" t="s">
        <v>51</v>
      </c>
    </row>
    <row r="10" spans="1:10" s="2" customFormat="1" x14ac:dyDescent="0.25">
      <c r="A10" s="3" t="s">
        <v>52</v>
      </c>
      <c r="B10" s="4" t="s">
        <v>11</v>
      </c>
      <c r="C10" s="4" t="s">
        <v>53</v>
      </c>
      <c r="D10" s="8" t="s">
        <v>19</v>
      </c>
      <c r="E10" s="3" t="s">
        <v>54</v>
      </c>
      <c r="F10" s="3">
        <v>10</v>
      </c>
      <c r="G10" s="6">
        <v>1100</v>
      </c>
      <c r="H10" s="6">
        <f>F10*G10</f>
      </c>
      <c r="I10" s="4" t="s">
        <v>55</v>
      </c>
      <c r="J10" s="4" t="s">
        <v>56</v>
      </c>
    </row>
    <row r="11" spans="1:10" s="2" customFormat="1" x14ac:dyDescent="0.25">
      <c r="A11" s="3" t="s">
        <v>57</v>
      </c>
      <c r="B11" s="7" t="s">
        <v>58</v>
      </c>
      <c r="C11" s="7" t="s">
        <v>59</v>
      </c>
      <c r="D11" s="9" t="s">
        <v>25</v>
      </c>
      <c r="E11" s="3" t="s">
        <v>31</v>
      </c>
      <c r="F11" s="3">
        <v>7.5</v>
      </c>
      <c r="G11" s="6">
        <v>1100</v>
      </c>
      <c r="H11" s="6">
        <f>F11*G11</f>
      </c>
      <c r="I11" s="7" t="s">
        <v>60</v>
      </c>
      <c r="J11" s="7" t="s">
        <v>61</v>
      </c>
    </row>
    <row r="12" spans="1:10" s="2" customFormat="1" x14ac:dyDescent="0.25">
      <c r="A12" s="3" t="s">
        <v>62</v>
      </c>
      <c r="B12" s="4" t="s">
        <v>58</v>
      </c>
      <c r="C12" s="4" t="s">
        <v>63</v>
      </c>
      <c r="D12" s="9" t="s">
        <v>25</v>
      </c>
      <c r="E12" s="3" t="s">
        <v>20</v>
      </c>
      <c r="F12" s="3">
        <v>3.5</v>
      </c>
      <c r="G12" s="6">
        <v>1100</v>
      </c>
      <c r="H12" s="6">
        <f>F12*G12</f>
      </c>
      <c r="I12" s="4" t="s">
        <v>64</v>
      </c>
      <c r="J12" s="4" t="s">
        <v>65</v>
      </c>
    </row>
    <row r="13" spans="1:10" s="2" customFormat="1" x14ac:dyDescent="0.25">
      <c r="A13" s="3" t="s">
        <v>66</v>
      </c>
      <c r="B13" s="7" t="s">
        <v>58</v>
      </c>
      <c r="C13" s="7" t="s">
        <v>67</v>
      </c>
      <c r="D13" s="9" t="s">
        <v>25</v>
      </c>
      <c r="E13" s="3" t="s">
        <v>26</v>
      </c>
      <c r="F13" s="3">
        <v>15</v>
      </c>
      <c r="G13" s="6">
        <v>1100</v>
      </c>
      <c r="H13" s="6">
        <f>F13*G13</f>
      </c>
      <c r="I13" s="7" t="s">
        <v>68</v>
      </c>
      <c r="J13" s="7" t="s">
        <v>69</v>
      </c>
    </row>
    <row r="14" spans="1:10" s="2" customFormat="1" x14ac:dyDescent="0.25">
      <c r="A14" s="3" t="s">
        <v>70</v>
      </c>
      <c r="B14" s="4" t="s">
        <v>58</v>
      </c>
      <c r="C14" s="4" t="s">
        <v>71</v>
      </c>
      <c r="D14" s="9" t="s">
        <v>25</v>
      </c>
      <c r="E14" s="3" t="s">
        <v>20</v>
      </c>
      <c r="F14" s="3">
        <v>3.5</v>
      </c>
      <c r="G14" s="6">
        <v>1100</v>
      </c>
      <c r="H14" s="6">
        <f>F14*G14</f>
      </c>
      <c r="I14" s="4" t="s">
        <v>72</v>
      </c>
      <c r="J14" s="4" t="s">
        <v>73</v>
      </c>
    </row>
    <row r="15" spans="1:10" s="2" customFormat="1" x14ac:dyDescent="0.25">
      <c r="A15" s="3" t="s">
        <v>74</v>
      </c>
      <c r="B15" s="7" t="s">
        <v>75</v>
      </c>
      <c r="C15" s="7" t="s">
        <v>76</v>
      </c>
      <c r="D15" s="5" t="s">
        <v>13</v>
      </c>
      <c r="E15" s="3" t="s">
        <v>41</v>
      </c>
      <c r="F15" s="3">
        <v>1</v>
      </c>
      <c r="G15" s="6">
        <v>1100</v>
      </c>
      <c r="H15" s="6">
        <f>F15*G15</f>
      </c>
      <c r="I15" s="7" t="s">
        <v>77</v>
      </c>
      <c r="J15" s="7" t="s">
        <v>78</v>
      </c>
    </row>
    <row r="16" spans="1:10" s="2" customFormat="1" x14ac:dyDescent="0.25">
      <c r="A16" s="3" t="s">
        <v>79</v>
      </c>
      <c r="B16" s="4" t="s">
        <v>75</v>
      </c>
      <c r="C16" s="4" t="s">
        <v>80</v>
      </c>
      <c r="D16" s="8" t="s">
        <v>19</v>
      </c>
      <c r="E16" s="3" t="s">
        <v>20</v>
      </c>
      <c r="F16" s="3">
        <v>3.5</v>
      </c>
      <c r="G16" s="6">
        <v>1100</v>
      </c>
      <c r="H16" s="6">
        <f>F16*G16</f>
      </c>
      <c r="I16" s="4" t="s">
        <v>81</v>
      </c>
      <c r="J16" s="4" t="s">
        <v>82</v>
      </c>
    </row>
    <row r="17" spans="1:10" s="2" customFormat="1" x14ac:dyDescent="0.25">
      <c r="A17" s="3" t="s">
        <v>83</v>
      </c>
      <c r="B17" s="7" t="s">
        <v>75</v>
      </c>
      <c r="C17" s="7" t="s">
        <v>84</v>
      </c>
      <c r="D17" s="8" t="s">
        <v>19</v>
      </c>
      <c r="E17" s="3" t="s">
        <v>20</v>
      </c>
      <c r="F17" s="3">
        <v>3.5</v>
      </c>
      <c r="G17" s="6">
        <v>1100</v>
      </c>
      <c r="H17" s="6">
        <f>F17*G17</f>
      </c>
      <c r="I17" s="7" t="s">
        <v>85</v>
      </c>
      <c r="J17" s="7" t="s">
        <v>86</v>
      </c>
    </row>
    <row r="18" spans="1:10" s="2" customFormat="1" x14ac:dyDescent="0.25">
      <c r="A18" s="3" t="s">
        <v>87</v>
      </c>
      <c r="B18" s="4" t="s">
        <v>75</v>
      </c>
      <c r="C18" s="4" t="s">
        <v>88</v>
      </c>
      <c r="D18" s="8" t="s">
        <v>19</v>
      </c>
      <c r="E18" s="3" t="s">
        <v>20</v>
      </c>
      <c r="F18" s="3">
        <v>3.5</v>
      </c>
      <c r="G18" s="6">
        <v>1100</v>
      </c>
      <c r="H18" s="6">
        <f>F18*G18</f>
      </c>
      <c r="I18" s="4" t="s">
        <v>89</v>
      </c>
      <c r="J18" s="4" t="s">
        <v>90</v>
      </c>
    </row>
    <row r="19" spans="1:10" s="2" customFormat="1" x14ac:dyDescent="0.25">
      <c r="A19" s="3" t="s">
        <v>91</v>
      </c>
      <c r="B19" s="7" t="s">
        <v>92</v>
      </c>
      <c r="C19" s="7" t="s">
        <v>93</v>
      </c>
      <c r="D19" s="9" t="s">
        <v>25</v>
      </c>
      <c r="E19" s="3" t="s">
        <v>26</v>
      </c>
      <c r="F19" s="3">
        <v>15</v>
      </c>
      <c r="G19" s="6">
        <v>1100</v>
      </c>
      <c r="H19" s="6">
        <f>F19*G19</f>
      </c>
      <c r="I19" s="7" t="s">
        <v>94</v>
      </c>
      <c r="J19" s="7" t="s">
        <v>95</v>
      </c>
    </row>
    <row r="20" spans="1:10" s="2" customFormat="1" x14ac:dyDescent="0.25">
      <c r="A20" s="3" t="s">
        <v>96</v>
      </c>
      <c r="B20" s="4" t="s">
        <v>92</v>
      </c>
      <c r="C20" s="4" t="s">
        <v>97</v>
      </c>
      <c r="D20" s="8" t="s">
        <v>19</v>
      </c>
      <c r="E20" s="3" t="s">
        <v>31</v>
      </c>
      <c r="F20" s="3">
        <v>7.5</v>
      </c>
      <c r="G20" s="6">
        <v>1100</v>
      </c>
      <c r="H20" s="6">
        <f>F20*G20</f>
      </c>
      <c r="I20" s="4" t="s">
        <v>98</v>
      </c>
      <c r="J20" s="4" t="s">
        <v>99</v>
      </c>
    </row>
    <row r="21" spans="1:10" s="2" customFormat="1" x14ac:dyDescent="0.25">
      <c r="A21" s="3" t="s">
        <v>100</v>
      </c>
      <c r="B21" s="7" t="s">
        <v>92</v>
      </c>
      <c r="C21" s="7" t="s">
        <v>101</v>
      </c>
      <c r="D21" s="9" t="s">
        <v>25</v>
      </c>
      <c r="E21" s="3" t="s">
        <v>20</v>
      </c>
      <c r="F21" s="3">
        <v>3.5</v>
      </c>
      <c r="G21" s="6">
        <v>1100</v>
      </c>
      <c r="H21" s="6">
        <f>F21*G21</f>
      </c>
      <c r="I21" s="7" t="s">
        <v>102</v>
      </c>
      <c r="J21" s="7" t="s">
        <v>103</v>
      </c>
    </row>
    <row r="22" spans="1:10" s="2" customFormat="1" x14ac:dyDescent="0.25">
      <c r="A22" s="3" t="s">
        <v>104</v>
      </c>
      <c r="B22" s="4" t="s">
        <v>92</v>
      </c>
      <c r="C22" s="4" t="s">
        <v>105</v>
      </c>
      <c r="D22" s="8" t="s">
        <v>19</v>
      </c>
      <c r="E22" s="3" t="s">
        <v>20</v>
      </c>
      <c r="F22" s="3">
        <v>3.5</v>
      </c>
      <c r="G22" s="6">
        <v>1100</v>
      </c>
      <c r="H22" s="6">
        <f>F22*G22</f>
      </c>
      <c r="I22" s="4" t="s">
        <v>106</v>
      </c>
      <c r="J22" s="4" t="s">
        <v>107</v>
      </c>
    </row>
    <row r="23" spans="1:10" s="2" customFormat="1" x14ac:dyDescent="0.25">
      <c r="A23" s="3" t="s">
        <v>108</v>
      </c>
      <c r="B23" s="7" t="s">
        <v>109</v>
      </c>
      <c r="C23" s="7" t="s">
        <v>110</v>
      </c>
      <c r="D23" s="9" t="s">
        <v>25</v>
      </c>
      <c r="E23" s="3" t="s">
        <v>20</v>
      </c>
      <c r="F23" s="3">
        <v>3.5</v>
      </c>
      <c r="G23" s="6">
        <v>1100</v>
      </c>
      <c r="H23" s="6">
        <f>F23*G23</f>
      </c>
      <c r="I23" s="7" t="s">
        <v>111</v>
      </c>
      <c r="J23" s="7" t="s">
        <v>99</v>
      </c>
    </row>
    <row r="24" spans="1:10" s="2" customFormat="1" x14ac:dyDescent="0.25">
      <c r="A24" s="3" t="s">
        <v>112</v>
      </c>
      <c r="B24" s="4" t="s">
        <v>109</v>
      </c>
      <c r="C24" s="4" t="s">
        <v>113</v>
      </c>
      <c r="D24" s="8" t="s">
        <v>19</v>
      </c>
      <c r="E24" s="3" t="s">
        <v>114</v>
      </c>
      <c r="F24" s="3">
        <v>3</v>
      </c>
      <c r="G24" s="6">
        <v>1100</v>
      </c>
      <c r="H24" s="6">
        <f>F24*G24</f>
      </c>
      <c r="I24" s="4" t="s">
        <v>115</v>
      </c>
      <c r="J24" s="4" t="s">
        <v>116</v>
      </c>
    </row>
    <row r="25" spans="1:10" s="2" customFormat="1" x14ac:dyDescent="0.25">
      <c r="A25" s="3" t="s">
        <v>117</v>
      </c>
      <c r="B25" s="7" t="s">
        <v>109</v>
      </c>
      <c r="C25" s="7" t="s">
        <v>118</v>
      </c>
      <c r="D25" s="9" t="s">
        <v>25</v>
      </c>
      <c r="E25" s="3" t="s">
        <v>31</v>
      </c>
      <c r="F25" s="3">
        <v>7.5</v>
      </c>
      <c r="G25" s="6">
        <v>1100</v>
      </c>
      <c r="H25" s="6">
        <f>F25*G25</f>
      </c>
      <c r="I25" s="7" t="s">
        <v>119</v>
      </c>
      <c r="J25" s="7" t="s">
        <v>120</v>
      </c>
    </row>
    <row r="26" spans="1:10" s="2" customFormat="1" x14ac:dyDescent="0.25">
      <c r="A26" s="3" t="s">
        <v>121</v>
      </c>
      <c r="B26" s="4" t="s">
        <v>109</v>
      </c>
      <c r="C26" s="4" t="s">
        <v>122</v>
      </c>
      <c r="D26" s="9" t="s">
        <v>25</v>
      </c>
      <c r="E26" s="3" t="s">
        <v>31</v>
      </c>
      <c r="F26" s="3">
        <v>7.5</v>
      </c>
      <c r="G26" s="6">
        <v>1100</v>
      </c>
      <c r="H26" s="6">
        <f>F26*G26</f>
      </c>
      <c r="I26" s="4" t="s">
        <v>123</v>
      </c>
      <c r="J26" s="4" t="s">
        <v>124</v>
      </c>
    </row>
    <row r="27" spans="1:10" s="2" customFormat="1" x14ac:dyDescent="0.25">
      <c r="A27" s="3" t="s">
        <v>125</v>
      </c>
      <c r="B27" s="7" t="s">
        <v>126</v>
      </c>
      <c r="C27" s="7" t="s">
        <v>127</v>
      </c>
      <c r="D27" s="8" t="s">
        <v>19</v>
      </c>
      <c r="E27" s="3" t="s">
        <v>31</v>
      </c>
      <c r="F27" s="3">
        <v>7.5</v>
      </c>
      <c r="G27" s="6">
        <v>1100</v>
      </c>
      <c r="H27" s="6">
        <f>F27*G27</f>
      </c>
      <c r="I27" s="7" t="s">
        <v>128</v>
      </c>
      <c r="J27" s="7" t="s">
        <v>129</v>
      </c>
    </row>
    <row r="28" spans="1:10" s="2" customFormat="1" x14ac:dyDescent="0.25">
      <c r="A28" s="3" t="s">
        <v>130</v>
      </c>
      <c r="B28" s="4" t="s">
        <v>131</v>
      </c>
      <c r="C28" s="4" t="s">
        <v>132</v>
      </c>
      <c r="D28" s="9" t="s">
        <v>25</v>
      </c>
      <c r="E28" s="3" t="s">
        <v>20</v>
      </c>
      <c r="F28" s="3">
        <v>3.5</v>
      </c>
      <c r="G28" s="6">
        <v>1100</v>
      </c>
      <c r="H28" s="6">
        <f>F28*G28</f>
      </c>
      <c r="I28" s="4" t="s">
        <v>133</v>
      </c>
      <c r="J28" s="4" t="s">
        <v>134</v>
      </c>
    </row>
    <row r="29" spans="1:10" s="2" customFormat="1" x14ac:dyDescent="0.25">
      <c r="A29" s="3" t="s">
        <v>135</v>
      </c>
      <c r="B29" s="7" t="s">
        <v>136</v>
      </c>
      <c r="C29" s="7" t="s">
        <v>137</v>
      </c>
      <c r="D29" s="9" t="s">
        <v>25</v>
      </c>
      <c r="E29" s="3" t="s">
        <v>20</v>
      </c>
      <c r="F29" s="3">
        <v>3.5</v>
      </c>
      <c r="G29" s="6">
        <v>1100</v>
      </c>
      <c r="H29" s="6">
        <f>F29*G29</f>
      </c>
      <c r="I29" s="7" t="s">
        <v>138</v>
      </c>
      <c r="J29" s="7" t="s">
        <v>139</v>
      </c>
    </row>
    <row r="30" spans="1:10" s="2" customFormat="1" x14ac:dyDescent="0.25">
      <c r="A30" s="3" t="s">
        <v>140</v>
      </c>
      <c r="B30" s="4" t="s">
        <v>136</v>
      </c>
      <c r="C30" s="4" t="s">
        <v>141</v>
      </c>
      <c r="D30" s="9" t="s">
        <v>25</v>
      </c>
      <c r="E30" s="3" t="s">
        <v>31</v>
      </c>
      <c r="F30" s="3">
        <v>7.5</v>
      </c>
      <c r="G30" s="6">
        <v>1100</v>
      </c>
      <c r="H30" s="6">
        <f>F30*G30</f>
      </c>
      <c r="I30" s="4" t="s">
        <v>142</v>
      </c>
      <c r="J30" s="4" t="s">
        <v>143</v>
      </c>
    </row>
    <row r="31" spans="1:10" s="2" customFormat="1" x14ac:dyDescent="0.25">
      <c r="A31" s="3" t="s">
        <v>144</v>
      </c>
      <c r="B31" s="7" t="s">
        <v>136</v>
      </c>
      <c r="C31" s="7" t="s">
        <v>145</v>
      </c>
      <c r="D31" s="8" t="s">
        <v>19</v>
      </c>
      <c r="E31" s="3" t="s">
        <v>114</v>
      </c>
      <c r="F31" s="3">
        <v>3</v>
      </c>
      <c r="G31" s="6">
        <v>1100</v>
      </c>
      <c r="H31" s="6">
        <f>F31*G31</f>
      </c>
      <c r="I31" s="7" t="s">
        <v>146</v>
      </c>
      <c r="J31" s="7" t="s">
        <v>147</v>
      </c>
    </row>
    <row r="32" spans="1:10" s="2" customFormat="1" x14ac:dyDescent="0.25">
      <c r="A32" s="3" t="s">
        <v>148</v>
      </c>
      <c r="B32" s="4" t="s">
        <v>149</v>
      </c>
      <c r="C32" s="4" t="s">
        <v>150</v>
      </c>
      <c r="D32" s="8" t="s">
        <v>19</v>
      </c>
      <c r="E32" s="3" t="s">
        <v>36</v>
      </c>
      <c r="F32" s="3">
        <v>12</v>
      </c>
      <c r="G32" s="6">
        <v>0</v>
      </c>
      <c r="H32" s="6">
        <v>0</v>
      </c>
      <c r="I32" s="4" t="s">
        <v>151</v>
      </c>
      <c r="J32" s="4" t="s">
        <v>152</v>
      </c>
    </row>
    <row r="33" spans="1:10" s="2" customFormat="1" x14ac:dyDescent="0.25">
      <c r="A33" s="3" t="s">
        <v>153</v>
      </c>
      <c r="B33" s="7" t="s">
        <v>154</v>
      </c>
      <c r="C33" s="7" t="s">
        <v>155</v>
      </c>
      <c r="D33" s="8" t="s">
        <v>19</v>
      </c>
      <c r="E33" s="3" t="s">
        <v>20</v>
      </c>
      <c r="F33" s="3">
        <v>3.5</v>
      </c>
      <c r="G33" s="6">
        <v>1100</v>
      </c>
      <c r="H33" s="6">
        <f>F33*G33</f>
      </c>
      <c r="I33" s="7" t="s">
        <v>156</v>
      </c>
      <c r="J33" s="7" t="s">
        <v>157</v>
      </c>
    </row>
    <row r="34" spans="1:10" s="2" customFormat="1" x14ac:dyDescent="0.25">
      <c r="A34" s="3" t="s">
        <v>158</v>
      </c>
      <c r="B34" s="4" t="s">
        <v>154</v>
      </c>
      <c r="C34" s="4" t="s">
        <v>159</v>
      </c>
      <c r="D34" s="9" t="s">
        <v>25</v>
      </c>
      <c r="E34" s="3" t="s">
        <v>31</v>
      </c>
      <c r="F34" s="3">
        <v>7.5</v>
      </c>
      <c r="G34" s="6">
        <v>1100</v>
      </c>
      <c r="H34" s="6">
        <f>F34*G34</f>
      </c>
      <c r="I34" s="4" t="s">
        <v>160</v>
      </c>
      <c r="J34" s="4" t="s">
        <v>161</v>
      </c>
    </row>
    <row r="35" spans="1:10" s="2" customFormat="1" x14ac:dyDescent="0.25">
      <c r="A35" s="3" t="s">
        <v>162</v>
      </c>
      <c r="B35" s="7" t="s">
        <v>163</v>
      </c>
      <c r="C35" s="7" t="s">
        <v>164</v>
      </c>
      <c r="D35" s="8" t="s">
        <v>19</v>
      </c>
      <c r="E35" s="3" t="s">
        <v>20</v>
      </c>
      <c r="F35" s="3">
        <v>3.5</v>
      </c>
      <c r="G35" s="6">
        <v>1100</v>
      </c>
      <c r="H35" s="6">
        <f>F35*G35</f>
      </c>
      <c r="I35" s="7" t="s">
        <v>165</v>
      </c>
      <c r="J35" s="7" t="s">
        <v>166</v>
      </c>
    </row>
    <row r="36" spans="1:10" s="2" customFormat="1" x14ac:dyDescent="0.25">
      <c r="A36" s="3" t="s">
        <v>167</v>
      </c>
      <c r="B36" s="4" t="s">
        <v>163</v>
      </c>
      <c r="C36" s="4" t="s">
        <v>168</v>
      </c>
      <c r="D36" s="9" t="s">
        <v>25</v>
      </c>
      <c r="E36" s="3" t="s">
        <v>169</v>
      </c>
      <c r="F36" s="3">
        <v>6</v>
      </c>
      <c r="G36" s="6">
        <v>1100</v>
      </c>
      <c r="H36" s="6">
        <f>F36*G36</f>
      </c>
      <c r="I36" s="4" t="s">
        <v>170</v>
      </c>
      <c r="J36" s="4" t="s">
        <v>33</v>
      </c>
    </row>
    <row r="37" spans="1:10" s="2" customFormat="1" x14ac:dyDescent="0.25">
      <c r="A37" s="3" t="s">
        <v>171</v>
      </c>
      <c r="B37" s="7" t="s">
        <v>163</v>
      </c>
      <c r="C37" s="7" t="s">
        <v>172</v>
      </c>
      <c r="D37" s="9" t="s">
        <v>25</v>
      </c>
      <c r="E37" s="3" t="s">
        <v>36</v>
      </c>
      <c r="F37" s="3">
        <v>12</v>
      </c>
      <c r="G37" s="6">
        <v>1100</v>
      </c>
      <c r="H37" s="6">
        <f>F37*G37</f>
      </c>
      <c r="I37" s="7" t="s">
        <v>173</v>
      </c>
      <c r="J37" s="7" t="s">
        <v>174</v>
      </c>
    </row>
    <row r="38" spans="1:10" s="2" customFormat="1" x14ac:dyDescent="0.25">
      <c r="A38" s="3" t="s">
        <v>175</v>
      </c>
      <c r="B38" s="4" t="s">
        <v>163</v>
      </c>
      <c r="C38" s="4" t="s">
        <v>176</v>
      </c>
      <c r="D38" s="9" t="s">
        <v>25</v>
      </c>
      <c r="E38" s="3" t="s">
        <v>41</v>
      </c>
      <c r="F38" s="3">
        <v>1</v>
      </c>
      <c r="G38" s="6">
        <v>1100</v>
      </c>
      <c r="H38" s="6">
        <f>F38*G38</f>
      </c>
      <c r="I38" s="4" t="s">
        <v>177</v>
      </c>
      <c r="J38" s="4" t="s">
        <v>178</v>
      </c>
    </row>
    <row r="39" spans="1:10" s="2" customFormat="1" x14ac:dyDescent="0.25">
      <c r="A39" s="3" t="s">
        <v>179</v>
      </c>
      <c r="B39" s="7" t="s">
        <v>180</v>
      </c>
      <c r="C39" s="7" t="s">
        <v>181</v>
      </c>
      <c r="D39" s="9" t="s">
        <v>25</v>
      </c>
      <c r="E39" s="3" t="s">
        <v>31</v>
      </c>
      <c r="F39" s="3">
        <v>7.5</v>
      </c>
      <c r="G39" s="6">
        <v>1100</v>
      </c>
      <c r="H39" s="6">
        <f>F39*G39</f>
      </c>
      <c r="I39" s="7" t="s">
        <v>182</v>
      </c>
      <c r="J39" s="7" t="s">
        <v>183</v>
      </c>
    </row>
    <row r="40" spans="1:10" s="2" customFormat="1" x14ac:dyDescent="0.25">
      <c r="A40" s="3" t="s">
        <v>184</v>
      </c>
      <c r="B40" s="4" t="s">
        <v>180</v>
      </c>
      <c r="C40" s="4" t="s">
        <v>185</v>
      </c>
      <c r="D40" s="5" t="s">
        <v>13</v>
      </c>
      <c r="E40" s="3" t="s">
        <v>41</v>
      </c>
      <c r="F40" s="3">
        <v>0.5</v>
      </c>
      <c r="G40" s="6">
        <v>1100</v>
      </c>
      <c r="H40" s="6">
        <f>F40*G40</f>
      </c>
      <c r="I40" s="4" t="s">
        <v>186</v>
      </c>
      <c r="J40" s="4" t="s">
        <v>187</v>
      </c>
    </row>
    <row r="41" spans="1:10" s="2" customFormat="1" x14ac:dyDescent="0.25">
      <c r="A41" s="3" t="s">
        <v>188</v>
      </c>
      <c r="B41" s="7" t="s">
        <v>180</v>
      </c>
      <c r="C41" s="7" t="s">
        <v>189</v>
      </c>
      <c r="D41" s="8" t="s">
        <v>19</v>
      </c>
      <c r="E41" s="3" t="s">
        <v>20</v>
      </c>
      <c r="F41" s="3">
        <v>3.5</v>
      </c>
      <c r="G41" s="6">
        <v>1100</v>
      </c>
      <c r="H41" s="6">
        <f>F41*G41</f>
      </c>
      <c r="I41" s="7" t="s">
        <v>190</v>
      </c>
      <c r="J41" s="7" t="s">
        <v>191</v>
      </c>
    </row>
    <row r="42" spans="1:10" s="2" customFormat="1" x14ac:dyDescent="0.25">
      <c r="A42" s="3" t="s">
        <v>192</v>
      </c>
      <c r="B42" s="4" t="s">
        <v>180</v>
      </c>
      <c r="C42" s="4" t="s">
        <v>193</v>
      </c>
      <c r="D42" s="8" t="s">
        <v>19</v>
      </c>
      <c r="E42" s="3" t="s">
        <v>31</v>
      </c>
      <c r="F42" s="3">
        <v>8</v>
      </c>
      <c r="G42" s="6">
        <v>1100</v>
      </c>
      <c r="H42" s="6">
        <f>F42*G42</f>
      </c>
      <c r="I42" s="4" t="s">
        <v>194</v>
      </c>
      <c r="J42" s="4" t="s">
        <v>195</v>
      </c>
    </row>
    <row r="43" spans="1:10" s="2" customFormat="1" x14ac:dyDescent="0.25">
      <c r="A43" s="3" t="s">
        <v>196</v>
      </c>
      <c r="B43" s="7" t="s">
        <v>180</v>
      </c>
      <c r="C43" s="7" t="s">
        <v>197</v>
      </c>
      <c r="D43" s="8" t="s">
        <v>19</v>
      </c>
      <c r="E43" s="3" t="s">
        <v>41</v>
      </c>
      <c r="F43" s="3">
        <v>1</v>
      </c>
      <c r="G43" s="6">
        <v>1100</v>
      </c>
      <c r="H43" s="6">
        <f>F43*G43</f>
      </c>
      <c r="I43" s="7" t="s">
        <v>198</v>
      </c>
      <c r="J43" s="7" t="s">
        <v>199</v>
      </c>
    </row>
    <row r="44" spans="1:10" s="2" customFormat="1" x14ac:dyDescent="0.25">
      <c r="A44" s="3" t="s">
        <v>200</v>
      </c>
      <c r="B44" s="4" t="s">
        <v>201</v>
      </c>
      <c r="C44" s="4" t="s">
        <v>202</v>
      </c>
      <c r="D44" s="8" t="s">
        <v>19</v>
      </c>
      <c r="E44" s="3" t="s">
        <v>20</v>
      </c>
      <c r="F44" s="3">
        <v>4.5</v>
      </c>
      <c r="G44" s="6">
        <v>1100</v>
      </c>
      <c r="H44" s="6">
        <f>F44*G44</f>
      </c>
      <c r="I44" s="4" t="s">
        <v>203</v>
      </c>
      <c r="J44" s="4" t="s">
        <v>204</v>
      </c>
    </row>
    <row r="45" spans="1:10" s="2" customFormat="1" x14ac:dyDescent="0.25">
      <c r="A45" s="3" t="s">
        <v>205</v>
      </c>
      <c r="B45" s="7" t="s">
        <v>201</v>
      </c>
      <c r="C45" s="7" t="s">
        <v>206</v>
      </c>
      <c r="D45" s="8" t="s">
        <v>19</v>
      </c>
      <c r="E45" s="3" t="s">
        <v>41</v>
      </c>
      <c r="F45" s="3">
        <v>1</v>
      </c>
      <c r="G45" s="6">
        <v>1100</v>
      </c>
      <c r="H45" s="6">
        <f>F45*G45</f>
      </c>
      <c r="I45" s="7" t="s">
        <v>207</v>
      </c>
      <c r="J45" s="7" t="s">
        <v>208</v>
      </c>
    </row>
    <row r="46" spans="1:10" s="2" customFormat="1" x14ac:dyDescent="0.25">
      <c r="A46" s="3" t="s">
        <v>209</v>
      </c>
      <c r="B46" s="4" t="s">
        <v>201</v>
      </c>
      <c r="C46" s="4" t="s">
        <v>210</v>
      </c>
      <c r="D46" s="8" t="s">
        <v>19</v>
      </c>
      <c r="E46" s="3" t="s">
        <v>41</v>
      </c>
      <c r="F46" s="3">
        <v>1</v>
      </c>
      <c r="G46" s="6">
        <v>1100</v>
      </c>
      <c r="H46" s="6">
        <f>F46*G46</f>
      </c>
      <c r="I46" s="4" t="s">
        <v>211</v>
      </c>
      <c r="J46" s="4" t="s">
        <v>212</v>
      </c>
    </row>
    <row r="47" spans="1:10" s="2" customFormat="1" x14ac:dyDescent="0.25">
      <c r="A47" s="3" t="s">
        <v>213</v>
      </c>
      <c r="B47" s="7" t="s">
        <v>201</v>
      </c>
      <c r="C47" s="7" t="s">
        <v>214</v>
      </c>
      <c r="D47" s="5" t="s">
        <v>13</v>
      </c>
      <c r="E47" s="3" t="s">
        <v>41</v>
      </c>
      <c r="F47" s="3">
        <v>0</v>
      </c>
      <c r="G47" s="6">
        <v>1100</v>
      </c>
      <c r="H47" s="6">
        <f>F47*G47</f>
      </c>
      <c r="I47" s="7" t="s">
        <v>215</v>
      </c>
      <c r="J47" s="7" t="s">
        <v>216</v>
      </c>
    </row>
    <row r="48" spans="1:10" s="2" customFormat="1" x14ac:dyDescent="0.25">
      <c r="A48" s="3" t="s">
        <v>217</v>
      </c>
      <c r="B48" s="4" t="s">
        <v>201</v>
      </c>
      <c r="C48" s="4" t="s">
        <v>218</v>
      </c>
      <c r="D48" s="9" t="s">
        <v>25</v>
      </c>
      <c r="E48" s="3" t="s">
        <v>31</v>
      </c>
      <c r="F48" s="3">
        <v>7.5</v>
      </c>
      <c r="G48" s="6">
        <v>1100</v>
      </c>
      <c r="H48" s="6">
        <f>F48*G48</f>
      </c>
      <c r="I48" s="4" t="s">
        <v>219</v>
      </c>
      <c r="J48" s="4" t="s">
        <v>220</v>
      </c>
    </row>
    <row r="49" spans="1:10" s="2" customFormat="1" x14ac:dyDescent="0.25">
      <c r="A49" s="3" t="s">
        <v>221</v>
      </c>
      <c r="B49" s="7" t="s">
        <v>201</v>
      </c>
      <c r="C49" s="7" t="s">
        <v>222</v>
      </c>
      <c r="D49" s="8" t="s">
        <v>19</v>
      </c>
      <c r="E49" s="3" t="s">
        <v>41</v>
      </c>
      <c r="F49" s="3">
        <v>1</v>
      </c>
      <c r="G49" s="6">
        <v>1100</v>
      </c>
      <c r="H49" s="6">
        <f>F49*G49</f>
      </c>
      <c r="I49" s="7" t="s">
        <v>223</v>
      </c>
      <c r="J49" s="7" t="s">
        <v>224</v>
      </c>
    </row>
    <row r="50" spans="1:10" s="2" customFormat="1" x14ac:dyDescent="0.25">
      <c r="A50" s="3" t="s">
        <v>225</v>
      </c>
      <c r="B50" s="4" t="s">
        <v>201</v>
      </c>
      <c r="C50" s="4" t="s">
        <v>226</v>
      </c>
      <c r="D50" s="8" t="s">
        <v>19</v>
      </c>
      <c r="E50" s="3" t="s">
        <v>31</v>
      </c>
      <c r="F50" s="3">
        <v>7.5</v>
      </c>
      <c r="G50" s="6">
        <v>1100</v>
      </c>
      <c r="H50" s="6">
        <f>F50*G50</f>
      </c>
      <c r="I50" s="4" t="s">
        <v>227</v>
      </c>
      <c r="J50" s="4" t="s">
        <v>228</v>
      </c>
    </row>
    <row r="51" spans="1:10" s="2" customFormat="1" x14ac:dyDescent="0.25">
      <c r="A51" s="3" t="s">
        <v>229</v>
      </c>
      <c r="B51" s="7" t="s">
        <v>201</v>
      </c>
      <c r="C51" s="7" t="s">
        <v>230</v>
      </c>
      <c r="D51" s="5" t="s">
        <v>13</v>
      </c>
      <c r="E51" s="3" t="s">
        <v>41</v>
      </c>
      <c r="F51" s="3">
        <v>0</v>
      </c>
      <c r="G51" s="6">
        <v>1100</v>
      </c>
      <c r="H51" s="6">
        <f>F51*G51</f>
      </c>
      <c r="I51" s="7" t="s">
        <v>231</v>
      </c>
      <c r="J51" s="7" t="s">
        <v>232</v>
      </c>
    </row>
    <row r="52" spans="1:10" s="2" customFormat="1" x14ac:dyDescent="0.25">
      <c r="A52" s="3" t="s">
        <v>233</v>
      </c>
      <c r="B52" s="4" t="s">
        <v>201</v>
      </c>
      <c r="C52" s="4" t="s">
        <v>234</v>
      </c>
      <c r="D52" s="8" t="s">
        <v>19</v>
      </c>
      <c r="E52" s="3" t="s">
        <v>20</v>
      </c>
      <c r="F52" s="3">
        <v>5</v>
      </c>
      <c r="G52" s="6">
        <v>1100</v>
      </c>
      <c r="H52" s="6">
        <f>F52*G52</f>
      </c>
      <c r="I52" s="4" t="s">
        <v>235</v>
      </c>
      <c r="J52" s="4" t="s">
        <v>236</v>
      </c>
    </row>
    <row r="53" spans="1:10" s="2" customFormat="1" x14ac:dyDescent="0.25">
      <c r="A53" s="3" t="s">
        <v>237</v>
      </c>
      <c r="B53" s="7" t="s">
        <v>201</v>
      </c>
      <c r="C53" s="7" t="s">
        <v>238</v>
      </c>
      <c r="D53" s="8" t="s">
        <v>19</v>
      </c>
      <c r="E53" s="3" t="s">
        <v>20</v>
      </c>
      <c r="F53" s="3">
        <v>3.5</v>
      </c>
      <c r="G53" s="6">
        <v>1100</v>
      </c>
      <c r="H53" s="6">
        <f>F53*G53</f>
      </c>
      <c r="I53" s="7" t="s">
        <v>239</v>
      </c>
      <c r="J53" s="7" t="s">
        <v>240</v>
      </c>
    </row>
    <row r="54" spans="1:10" s="2" customFormat="1" x14ac:dyDescent="0.25">
      <c r="A54" s="3" t="s">
        <v>241</v>
      </c>
      <c r="B54" s="4" t="s">
        <v>201</v>
      </c>
      <c r="C54" s="4" t="s">
        <v>242</v>
      </c>
      <c r="D54" s="8" t="s">
        <v>19</v>
      </c>
      <c r="E54" s="3" t="s">
        <v>20</v>
      </c>
      <c r="F54" s="3">
        <v>3.5</v>
      </c>
      <c r="G54" s="6">
        <v>1100</v>
      </c>
      <c r="H54" s="6">
        <f>F54*G54</f>
      </c>
      <c r="I54" s="4" t="s">
        <v>243</v>
      </c>
      <c r="J54" s="4" t="s">
        <v>244</v>
      </c>
    </row>
    <row r="55" spans="1:10" s="2" customFormat="1" x14ac:dyDescent="0.25">
      <c r="A55" s="3" t="s">
        <v>245</v>
      </c>
      <c r="B55" s="7" t="s">
        <v>201</v>
      </c>
      <c r="C55" s="7" t="s">
        <v>246</v>
      </c>
      <c r="D55" s="9" t="s">
        <v>25</v>
      </c>
      <c r="E55" s="3" t="s">
        <v>31</v>
      </c>
      <c r="F55" s="3">
        <v>7.5</v>
      </c>
      <c r="G55" s="6">
        <v>1100</v>
      </c>
      <c r="H55" s="6">
        <f>F55*G55</f>
      </c>
      <c r="I55" s="7" t="s">
        <v>247</v>
      </c>
      <c r="J55" s="7" t="s">
        <v>248</v>
      </c>
    </row>
    <row r="56" spans="1:10" s="2" customFormat="1" x14ac:dyDescent="0.25">
      <c r="A56" s="3" t="s">
        <v>249</v>
      </c>
      <c r="B56" s="4" t="s">
        <v>201</v>
      </c>
      <c r="C56" s="4" t="s">
        <v>250</v>
      </c>
      <c r="D56" s="8" t="s">
        <v>19</v>
      </c>
      <c r="E56" s="3" t="s">
        <v>41</v>
      </c>
      <c r="F56" s="3">
        <v>1</v>
      </c>
      <c r="G56" s="6">
        <v>1100</v>
      </c>
      <c r="H56" s="6">
        <f>F56*G56</f>
      </c>
      <c r="I56" s="4" t="s">
        <v>251</v>
      </c>
      <c r="J56" s="4" t="s">
        <v>252</v>
      </c>
    </row>
    <row r="57" spans="1:10" s="2" customFormat="1" x14ac:dyDescent="0.25">
      <c r="A57" s="3" t="s">
        <v>253</v>
      </c>
      <c r="B57" s="7" t="s">
        <v>201</v>
      </c>
      <c r="C57" s="7" t="s">
        <v>254</v>
      </c>
      <c r="D57" s="8" t="s">
        <v>19</v>
      </c>
      <c r="E57" s="3" t="s">
        <v>31</v>
      </c>
      <c r="F57" s="3">
        <v>7.5</v>
      </c>
      <c r="G57" s="6">
        <v>1100</v>
      </c>
      <c r="H57" s="6">
        <f>F57*G57</f>
      </c>
      <c r="I57" s="7" t="s">
        <v>255</v>
      </c>
      <c r="J57" s="7" t="s">
        <v>256</v>
      </c>
    </row>
    <row r="58" spans="1:10" s="2" customFormat="1" x14ac:dyDescent="0.25">
      <c r="A58" s="3" t="s">
        <v>257</v>
      </c>
      <c r="B58" s="4" t="s">
        <v>201</v>
      </c>
      <c r="C58" s="4" t="s">
        <v>258</v>
      </c>
      <c r="D58" s="8" t="s">
        <v>19</v>
      </c>
      <c r="E58" s="3" t="s">
        <v>20</v>
      </c>
      <c r="F58" s="3">
        <v>4.5</v>
      </c>
      <c r="G58" s="6">
        <v>1100</v>
      </c>
      <c r="H58" s="6">
        <f>F58*G58</f>
      </c>
      <c r="I58" s="4" t="s">
        <v>259</v>
      </c>
      <c r="J58" s="4" t="s">
        <v>260</v>
      </c>
    </row>
    <row r="59" spans="1:10" s="2" customFormat="1" x14ac:dyDescent="0.25">
      <c r="A59" s="3" t="s">
        <v>261</v>
      </c>
      <c r="B59" s="7" t="s">
        <v>201</v>
      </c>
      <c r="C59" s="7" t="s">
        <v>262</v>
      </c>
      <c r="D59" s="5" t="s">
        <v>13</v>
      </c>
      <c r="E59" s="3" t="s">
        <v>41</v>
      </c>
      <c r="F59" s="3">
        <v>0</v>
      </c>
      <c r="G59" s="6">
        <v>1100</v>
      </c>
      <c r="H59" s="6">
        <f>F59*G59</f>
      </c>
      <c r="I59" s="7" t="s">
        <v>263</v>
      </c>
      <c r="J59" s="7" t="s">
        <v>264</v>
      </c>
    </row>
    <row r="60" spans="1:10" s="2" customFormat="1" x14ac:dyDescent="0.25">
      <c r="A60" s="3" t="s">
        <v>265</v>
      </c>
      <c r="B60" s="4" t="s">
        <v>201</v>
      </c>
      <c r="C60" s="4" t="s">
        <v>266</v>
      </c>
      <c r="D60" s="9" t="s">
        <v>25</v>
      </c>
      <c r="E60" s="3" t="s">
        <v>31</v>
      </c>
      <c r="F60" s="3">
        <v>7.5</v>
      </c>
      <c r="G60" s="6">
        <v>1100</v>
      </c>
      <c r="H60" s="6">
        <f>F60*G60</f>
      </c>
      <c r="I60" s="4" t="s">
        <v>267</v>
      </c>
      <c r="J60" s="4" t="s">
        <v>268</v>
      </c>
    </row>
    <row r="61" spans="1:10" s="2" customFormat="1" x14ac:dyDescent="0.25">
      <c r="A61" s="3" t="s">
        <v>269</v>
      </c>
      <c r="B61" s="7" t="s">
        <v>270</v>
      </c>
      <c r="C61" s="7" t="s">
        <v>271</v>
      </c>
      <c r="D61" s="9" t="s">
        <v>25</v>
      </c>
      <c r="E61" s="3" t="s">
        <v>31</v>
      </c>
      <c r="F61" s="3">
        <v>7.5</v>
      </c>
      <c r="G61" s="6">
        <v>1100</v>
      </c>
      <c r="H61" s="6">
        <f>F61*G61</f>
      </c>
      <c r="I61" s="7" t="s">
        <v>272</v>
      </c>
      <c r="J61" s="7" t="s">
        <v>273</v>
      </c>
    </row>
    <row r="62" spans="1:10" x14ac:dyDescent="0.25">
      <c r="A62" s="10"/>
      <c r="B62" s="10"/>
      <c r="C62" s="11" t="s">
        <v>274</v>
      </c>
      <c r="D62" s="10"/>
      <c r="E62" s="10"/>
      <c r="F62" s="12">
        <f>SUM(F2:F61)</f>
      </c>
      <c r="G62" s="10"/>
      <c r="H62" s="13">
        <f>SUM(H2:H61)</f>
      </c>
      <c r="I62" s="10"/>
      <c r="J62" s="10"/>
    </row>
  </sheetData>
  <autoFilter ref="A1:J6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6" customWidth="1"/>
    <col min="2" max="2" width="34" customWidth="1"/>
    <col min="3" max="4" width="10" customWidth="1"/>
    <col min="5" max="5" width="16" customWidth="1"/>
  </cols>
  <sheetData>
    <row r="1" spans="1:5" x14ac:dyDescent="0.25">
      <c r="A1" s="14" t="s">
        <v>275</v>
      </c>
      <c r="B1" s="14"/>
      <c r="C1" s="14"/>
      <c r="D1" s="14"/>
      <c r="E1" s="14"/>
    </row>
    <row r="3" spans="1:3" x14ac:dyDescent="0.25">
      <c r="A3" s="15" t="s">
        <v>276</v>
      </c>
      <c r="C3" s="16">
        <v>1100</v>
      </c>
    </row>
    <row r="4" ht="30" customHeight="1" spans="1:5" x14ac:dyDescent="0.25">
      <c r="A4" s="15" t="s">
        <v>277</v>
      </c>
      <c r="B4" s="17" t="s">
        <v>278</v>
      </c>
      <c r="C4" s="17"/>
      <c r="D4" s="17"/>
      <c r="E4" s="17"/>
    </row>
    <row r="6" spans="1:5" x14ac:dyDescent="0.25">
      <c r="A6" s="18" t="s">
        <v>279</v>
      </c>
      <c r="B6" s="18" t="s">
        <v>1</v>
      </c>
      <c r="C6" s="18" t="s">
        <v>280</v>
      </c>
      <c r="D6" s="18" t="s">
        <v>5</v>
      </c>
      <c r="E6" s="18" t="s">
        <v>7</v>
      </c>
    </row>
    <row r="7" spans="1:5" x14ac:dyDescent="0.25">
      <c r="A7" s="19" t="s">
        <v>281</v>
      </c>
      <c r="B7" t="s">
        <v>282</v>
      </c>
      <c r="C7" s="20">
        <v>9</v>
      </c>
      <c r="D7" s="21">
        <v>64.5</v>
      </c>
      <c r="E7" s="16">
        <f>64.5*$C$3</f>
      </c>
    </row>
    <row r="8" spans="1:5" x14ac:dyDescent="0.25">
      <c r="A8" s="22" t="s">
        <v>283</v>
      </c>
      <c r="B8" s="23" t="s">
        <v>284</v>
      </c>
      <c r="C8" s="24">
        <v>4</v>
      </c>
      <c r="D8" s="25">
        <v>29.5</v>
      </c>
      <c r="E8" s="26">
        <f>29.5*$C$3</f>
      </c>
    </row>
    <row r="9" spans="1:5" x14ac:dyDescent="0.25">
      <c r="A9" s="19" t="s">
        <v>285</v>
      </c>
      <c r="B9" t="s">
        <v>286</v>
      </c>
      <c r="C9" s="20">
        <v>4</v>
      </c>
      <c r="D9" s="21">
        <v>11.5</v>
      </c>
      <c r="E9" s="16">
        <f>11.5*$C$3</f>
      </c>
    </row>
    <row r="10" spans="1:5" x14ac:dyDescent="0.25">
      <c r="A10" s="22" t="s">
        <v>287</v>
      </c>
      <c r="B10" s="23" t="s">
        <v>288</v>
      </c>
      <c r="C10" s="24">
        <v>4</v>
      </c>
      <c r="D10" s="25">
        <v>29.5</v>
      </c>
      <c r="E10" s="26">
        <f>29.5*$C$3</f>
      </c>
    </row>
    <row r="11" spans="1:5" x14ac:dyDescent="0.25">
      <c r="A11" s="19" t="s">
        <v>289</v>
      </c>
      <c r="B11" t="s">
        <v>290</v>
      </c>
      <c r="C11" s="20">
        <v>4</v>
      </c>
      <c r="D11" s="21">
        <v>21.5</v>
      </c>
      <c r="E11" s="16">
        <f>21.5*$C$3</f>
      </c>
    </row>
    <row r="12" spans="1:5" x14ac:dyDescent="0.25">
      <c r="A12" s="22" t="s">
        <v>291</v>
      </c>
      <c r="B12" s="23" t="s">
        <v>292</v>
      </c>
      <c r="C12" s="24">
        <v>1</v>
      </c>
      <c r="D12" s="25">
        <v>7.5</v>
      </c>
      <c r="E12" s="26">
        <f>7.5*$C$3</f>
      </c>
    </row>
    <row r="13" spans="1:5" x14ac:dyDescent="0.25">
      <c r="A13" s="19" t="s">
        <v>293</v>
      </c>
      <c r="B13" t="s">
        <v>294</v>
      </c>
      <c r="C13" s="20">
        <v>1</v>
      </c>
      <c r="D13" s="21">
        <v>3.5</v>
      </c>
      <c r="E13" s="16">
        <f>3.5*$C$3</f>
      </c>
    </row>
    <row r="14" spans="1:5" x14ac:dyDescent="0.25">
      <c r="A14" s="22" t="s">
        <v>295</v>
      </c>
      <c r="B14" s="23" t="s">
        <v>296</v>
      </c>
      <c r="C14" s="24">
        <v>3</v>
      </c>
      <c r="D14" s="25">
        <v>14</v>
      </c>
      <c r="E14" s="26">
        <f>14*$C$3</f>
      </c>
    </row>
    <row r="15" spans="1:5" x14ac:dyDescent="0.25">
      <c r="A15" s="19" t="s">
        <v>297</v>
      </c>
      <c r="B15" t="s">
        <v>298</v>
      </c>
      <c r="C15" s="20">
        <v>1</v>
      </c>
      <c r="D15" s="21">
        <v>12</v>
      </c>
      <c r="E15" s="16">
        <f>0*$C$3</f>
      </c>
    </row>
    <row r="16" spans="1:5" x14ac:dyDescent="0.25">
      <c r="A16" s="22" t="s">
        <v>299</v>
      </c>
      <c r="B16" s="23" t="s">
        <v>300</v>
      </c>
      <c r="C16" s="24">
        <v>2</v>
      </c>
      <c r="D16" s="25">
        <v>11</v>
      </c>
      <c r="E16" s="26">
        <f>11*$C$3</f>
      </c>
    </row>
    <row r="17" spans="1:5" x14ac:dyDescent="0.25">
      <c r="A17" s="19" t="s">
        <v>301</v>
      </c>
      <c r="B17" t="s">
        <v>302</v>
      </c>
      <c r="C17" s="20">
        <v>4</v>
      </c>
      <c r="D17" s="21">
        <v>22.5</v>
      </c>
      <c r="E17" s="16">
        <f>22.5*$C$3</f>
      </c>
    </row>
    <row r="18" spans="1:5" x14ac:dyDescent="0.25">
      <c r="A18" s="22" t="s">
        <v>31</v>
      </c>
      <c r="B18" s="23" t="s">
        <v>303</v>
      </c>
      <c r="C18" s="24">
        <v>5</v>
      </c>
      <c r="D18" s="25">
        <v>20.5</v>
      </c>
      <c r="E18" s="26">
        <f>20.5*$C$3</f>
      </c>
    </row>
    <row r="19" spans="1:5" x14ac:dyDescent="0.25">
      <c r="A19" s="19" t="s">
        <v>20</v>
      </c>
      <c r="B19" t="s">
        <v>304</v>
      </c>
      <c r="C19" s="20">
        <v>17</v>
      </c>
      <c r="D19" s="21">
        <v>62.5</v>
      </c>
      <c r="E19" s="16">
        <f>62.5*$C$3</f>
      </c>
    </row>
    <row r="20" spans="1:5" x14ac:dyDescent="0.25">
      <c r="A20" s="22" t="s">
        <v>305</v>
      </c>
      <c r="B20" s="23" t="s">
        <v>306</v>
      </c>
      <c r="C20" s="24">
        <v>1</v>
      </c>
      <c r="D20" s="25">
        <v>7.5</v>
      </c>
      <c r="E20" s="26">
        <f>7.5*$C$3</f>
      </c>
    </row>
    <row r="21" spans="1:5" x14ac:dyDescent="0.25">
      <c r="A21" s="18"/>
      <c r="B21" s="18" t="s">
        <v>274</v>
      </c>
      <c r="C21" s="27">
        <f>SUM(C7:C20)</f>
      </c>
      <c r="D21" s="28">
        <f>SUM(D7:D20)</f>
      </c>
      <c r="E21" s="29">
        <f>SUM(E7:E20)</f>
      </c>
    </row>
  </sheetData>
  <mergeCells count="2">
    <mergeCell ref="A1:E1"/>
    <mergeCell ref="B4:E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Bullyproof change-request audit</dc:creator>
  <dc:title/>
  <dc:subject/>
  <dc:description/>
  <cp:keywords/>
  <cp:category/>
  <cp:lastModifiedBy>Unknown</cp:lastModifiedBy>
  <dcterms:created xsi:type="dcterms:W3CDTF">2026-06-21T14:00:00Z</dcterms:created>
  <dcterms:modified xsi:type="dcterms:W3CDTF">2026-07-02T10:09:32Z</dcterms:modified>
</cp:coreProperties>
</file>