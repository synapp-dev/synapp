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  <sheet sheetId="2" name="Item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<sst xmlns="http://schemas.openxmlformats.org/spreadsheetml/2006/main" count="354" uniqueCount="184">
  <si>
    <t>Discipline rates &amp; assumptions</t>
  </si>
  <si>
    <t>Discipline</t>
  </si>
  <si>
    <t>Day rate (AUD)</t>
  </si>
  <si>
    <t>Hourly (AUD)</t>
  </si>
  <si>
    <t>Design / UX</t>
  </si>
  <si>
    <t>Frontend (React/Next)</t>
  </si>
  <si>
    <t>Backend</t>
  </si>
  <si>
    <t>DevOps / Infra</t>
  </si>
  <si>
    <t>PM / BA / Admin</t>
  </si>
  <si>
    <t>Hours per day</t>
  </si>
  <si>
    <t>Note</t>
  </si>
  <si>
    <t>AU FY25/26 market contract rates, billed direct as a company (ex-GST; add 10% on invoice). Edit the day rates above — every figure in the Items and Summary sheets recalculates. Hours assume one specialist per discipline working in parallel.</t>
  </si>
  <si>
    <t>Item</t>
  </si>
  <si>
    <t>Section</t>
  </si>
  <si>
    <t>Feature</t>
  </si>
  <si>
    <t>Scope</t>
  </si>
  <si>
    <t>Status</t>
  </si>
  <si>
    <t>Design h</t>
  </si>
  <si>
    <t>Frontend h</t>
  </si>
  <si>
    <t>Backend h</t>
  </si>
  <si>
    <t>DevOps h</t>
  </si>
  <si>
    <t>PM/Admin h</t>
  </si>
  <si>
    <t>Total h</t>
  </si>
  <si>
    <t>Cost (AUD)</t>
  </si>
  <si>
    <t>Notes</t>
  </si>
  <si>
    <t>1</t>
  </si>
  <si>
    <t>A. Admin — Home / Dashboard</t>
  </si>
  <si>
    <t>Admin landing / dashboard (to be replaced)</t>
  </si>
  <si>
    <t>Done/—</t>
  </si>
  <si>
    <t>EXISTS</t>
  </si>
  <si>
    <t>2</t>
  </si>
  <si>
    <t>Total Schools vs Active (onboarding-complete) Schools</t>
  </si>
  <si>
    <t>Additional</t>
  </si>
  <si>
    <t>PARTIAL</t>
  </si>
  <si>
    <t>3</t>
  </si>
  <si>
    <t>Per-school schedule status (On / Ahead / Slightly Behind / Behind)</t>
  </si>
  <si>
    <t>MISSING</t>
  </si>
  <si>
    <t>4</t>
  </si>
  <si>
    <t>“This School Year” / program-year selector (multi-year)</t>
  </si>
  <si>
    <t>5</t>
  </si>
  <si>
    <t>Data model: each school’s initial year vs ongoing years</t>
  </si>
  <si>
    <t>6</t>
  </si>
  <si>
    <t>Sidebar items: Manage Schools / Lessons / AP Cert / Users</t>
  </si>
  <si>
    <t>7</t>
  </si>
  <si>
    <t>Dashboard filters: state, school level, sector, AP level, status</t>
  </si>
  <si>
    <t>8</t>
  </si>
  <si>
    <t>Dashboard columns (Culture trend, AP Cert %, Students, Classes, Teacher History, Lessons %, Schedule, Last Activity, Action)</t>
  </si>
  <si>
    <t>9</t>
  </si>
  <si>
    <t>Drill-downs: Onboarding, Culture, AP Cert detail, Class, Lesson History, Teacher History</t>
  </si>
  <si>
    <t>10</t>
  </si>
  <si>
    <t>B. School Terms / Schedule Engine</t>
  </si>
  <si>
    <t>Settings → School Terms (per-state term dates, per year, annual reset)</t>
  </si>
  <si>
    <t>11</t>
  </si>
  <si>
    <t>Term entry form (year/state/term dropdowns, date pickers, end-before-start validation)</t>
  </si>
  <si>
    <t>12</t>
  </si>
  <si>
    <t>Schedule calculation engine (progress vs Term 2 cadence, by state terms)</t>
  </si>
  <si>
    <t>13</t>
  </si>
  <si>
    <t>“Progress to End of Term 2” widget (current week, % elapsed by school days)</t>
  </si>
  <si>
    <t>14</t>
  </si>
  <si>
    <t>C. Culture Rating</t>
  </si>
  <si>
    <t>Data entry inputs (school days, attendance, absences, incidents, suspensions S/L, exclusions)</t>
  </si>
  <si>
    <t>15</t>
  </si>
  <si>
    <t>Calculation / formulas with zero-input weighting</t>
  </si>
  <si>
    <t>16</t>
  </si>
  <si>
    <t>Benchmark + comparative periods (storage, rules: ≥20 days, overlap, post-program)</t>
  </si>
  <si>
    <t>17</t>
  </si>
  <si>
    <t>UX: comparative-period dropdown + speedometer (±100%, expandable to 150/200%)</t>
  </si>
  <si>
    <t>18</t>
  </si>
  <si>
    <t>D. Content Types (Multi-Curriculum)</t>
  </si>
  <si>
    <t>Add new Content Types / curricula (name, level count, level names)</t>
  </si>
  <si>
    <t>Original</t>
  </si>
  <si>
    <t>Agreed price $30,000 (value-priced; ~$10,550 at cost)</t>
  </si>
  <si>
    <t>19</t>
  </si>
  <si>
    <t>Per-content-type lesson creation / upload</t>
  </si>
  <si>
    <t>20</t>
  </si>
  <si>
    <t>Content Type dropdown on Add New School</t>
  </si>
  <si>
    <t>21</t>
  </si>
  <si>
    <t>Per-content-type resources</t>
  </si>
  <si>
    <t>22</t>
  </si>
  <si>
    <t>E. Content Management / Security</t>
  </si>
  <si>
    <t>MFA on content edits (email verification code before saving)</t>
  </si>
  <si>
    <t>23</t>
  </si>
  <si>
    <t>Sole-content-editor / content-edit permission model</t>
  </si>
  <si>
    <t>24</t>
  </si>
  <si>
    <t>Content audit log (create/edit/delete; date, user, event, content, version; comments)</t>
  </si>
  <si>
    <t>25</t>
  </si>
  <si>
    <t>Version numbers + last-updated/updated-by per lesson/module; report; read-only retention</t>
  </si>
  <si>
    <t>26</t>
  </si>
  <si>
    <t>F. Getting Started Videos</t>
  </si>
  <si>
    <t>Role-based getting-started videos (autoplay first login, sidebar replay, add/replace)</t>
  </si>
  <si>
    <t>27</t>
  </si>
  <si>
    <t>G. Add New School</t>
  </si>
  <si>
    <t>“Other” school level allowing arbitrary grade mixes (P-7, P-8)</t>
  </si>
  <si>
    <t>28</t>
  </si>
  <si>
    <t>H. Roles / Access Levels</t>
  </si>
  <si>
    <t>Rename “Roles” → “Access Levels” throughout; show only highest level per user</t>
  </si>
  <si>
    <t>29</t>
  </si>
  <si>
    <t>“Amayda” access tier above Bullyproof Admin</t>
  </si>
  <si>
    <t>30</t>
  </si>
  <si>
    <t>School Licence account able to add/edit users (currently setup-only?)</t>
  </si>
  <si>
    <t>31</t>
  </si>
  <si>
    <t>I. Branding</t>
  </si>
  <si>
    <t>Logo/icon: BP → BA everywhere, animated logo, icon variants</t>
  </si>
  <si>
    <t>Goodwill</t>
  </si>
  <si>
    <t>Goodwill - included at no charge (module M8; ~$9,300 of work, charged $0)</t>
  </si>
  <si>
    <t>32</t>
  </si>
  <si>
    <t>J. AP Certificate</t>
  </si>
  <si>
    <t>Certificate generation on course completion; accessible/downloadable</t>
  </si>
  <si>
    <t>33</t>
  </si>
  <si>
    <t>Uploadable/replaceable certificate template with fields (name, date, optional cert number)</t>
  </si>
  <si>
    <t>34</t>
  </si>
  <si>
    <t>K. Reports (Admin)</t>
  </si>
  <si>
    <t>Reports: School Status, Lesson Completion &amp; Ratings, Culture Rating, AP Certification &amp; Ratings</t>
  </si>
  <si>
    <t>35</t>
  </si>
  <si>
    <t>Per-report Filters panel + Export modal (CSV/Excel/PDF), export scope</t>
  </si>
  <si>
    <t>36</t>
  </si>
  <si>
    <t>Government stakeholder dashboards / reporting</t>
  </si>
  <si>
    <t>37</t>
  </si>
  <si>
    <t>Exclude “Bullyproof Academy” test school from reports</t>
  </si>
  <si>
    <t>38</t>
  </si>
  <si>
    <t>L. Onboarding</t>
  </si>
  <si>
    <t>Onboarding checklist: Benchmark received, Jeff Horn visit, Practical Training, Onboarding Session (dates + active/locked)</t>
  </si>
  <si>
    <t>39</t>
  </si>
  <si>
    <t>(defect) School Address &amp; Email Domain not saving on edit</t>
  </si>
  <si>
    <t>40</t>
  </si>
  <si>
    <t>(defect/UX) Apply Template visual confirmation (Template Active / green)</t>
  </si>
  <si>
    <t>41</t>
  </si>
  <si>
    <t>(defect) Activity / Licence / Feature Access buttons non-functional</t>
  </si>
  <si>
    <t>42</t>
  </si>
  <si>
    <t>Add Class: capture student numbers (Class Size field)</t>
  </si>
  <si>
    <t>43</t>
  </si>
  <si>
    <t>M. School Portal</t>
  </si>
  <si>
    <t>Remove Dashboard; role-based Home pages (Staff / AP Teacher / School Admin)</t>
  </si>
  <si>
    <t>44</t>
  </si>
  <si>
    <t>Remove Ctrl+K command menu; keep light/dark toggle</t>
  </si>
  <si>
    <t>45</t>
  </si>
  <si>
    <t>Rename Content → Preview Lessons, Lessons → Teach Lessons</t>
  </si>
  <si>
    <t>46</t>
  </si>
  <si>
    <t>Sidebar hover tooltips / screen-tips</t>
  </si>
  <si>
    <t>47</t>
  </si>
  <si>
    <t>Reports page message “available soon”</t>
  </si>
  <si>
    <t>48</t>
  </si>
  <si>
    <t>AP Certification page states (Start / Continue / Course Completed)</t>
  </si>
  <si>
    <t>49</t>
  </si>
  <si>
    <t>Teachers list as sortable columns + take-over-lesson workflow</t>
  </si>
  <si>
    <t>50</t>
  </si>
  <si>
    <t>Classes page star toggle (My Classes / Other Classes)</t>
  </si>
  <si>
    <t>51</t>
  </si>
  <si>
    <t>Teach Lessons defects (blank-screen, multi-level guidance, take-over, back-to-lesson)</t>
  </si>
  <si>
    <t>52</t>
  </si>
  <si>
    <t>Start Now vs Schedule lesson flow; scheduling (date/time, start previously-scheduled)</t>
  </si>
  <si>
    <t>53</t>
  </si>
  <si>
    <t>Lesson recommendation issues (year ordering, loop to L1 after L10, only 3 showing, wrong lesson for mixed levels)</t>
  </si>
  <si>
    <t>54</t>
  </si>
  <si>
    <t>“Start new calendar year” reset (push classes to L1, archive prior-year audit logs)</t>
  </si>
  <si>
    <t>55</t>
  </si>
  <si>
    <t>Lesson feedback: mandatory-rating note; default-to-5-stars option</t>
  </si>
  <si>
    <t>56</t>
  </si>
  <si>
    <t>Performance page (enter / view comparative periods)</t>
  </si>
  <si>
    <t>57</t>
  </si>
  <si>
    <t>Settings/Users, Settings/Classes (student numbers), Settings/Certification renames</t>
  </si>
  <si>
    <t>58</t>
  </si>
  <si>
    <t>Support button → mailto support@bullyproofaustralia.org.au (+cc)</t>
  </si>
  <si>
    <t>59</t>
  </si>
  <si>
    <t>School-admin reports: AP Certified Staff, AP Teacher, Class, Culture Rating (current + previous years)</t>
  </si>
  <si>
    <t>60</t>
  </si>
  <si>
    <t>N. Documentation</t>
  </si>
  <si>
    <t>Admin User Guide + System Administrator Guide (Word)</t>
  </si>
  <si>
    <t>TOTAL (man-hours cost)</t>
  </si>
  <si>
    <t>Bullyproof — Change Request · Discipline costing</t>
  </si>
  <si>
    <t>By discipline</t>
  </si>
  <si>
    <t>Hours</t>
  </si>
  <si>
    <t>Day rate</t>
  </si>
  <si>
    <t>Days</t>
  </si>
  <si>
    <t>TOTAL</t>
  </si>
  <si>
    <t>By scope</t>
  </si>
  <si>
    <t>Items</t>
  </si>
  <si>
    <t>Original agreement (content + bugs)</t>
  </si>
  <si>
    <t>Committed ~6 weeks. Item 18 content type agreed at $30k.</t>
  </si>
  <si>
    <t>Additional scope (added later)</t>
  </si>
  <si>
    <t>Billed on top, own timeline.</t>
  </si>
  <si>
    <t>Goodwill - Brand Refresh (M8), no charge</t>
  </si>
  <si>
    <t>Included free as a goodwill gesture; effort kept in the model but excluded from the chargeable total.</t>
  </si>
  <si>
    <t>CHARGEABLE total (man-hours, ex goodwill)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</si>
</sst>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color theme="1"/>
      <family val="2"/>
      <scheme val="minor"/>
      <sz val="11"/>
      <name val="Calibri"/>
    </font>
    <font>
      <b/>
      <color rgb="FF1B4F72"/>
      <sz val="14"/>
    </font>
    <font>
      <b/>
      <color rgb="FFFFFFFF"/>
    </font>
    <font>
      <b/>
    </font>
    <font>
      <i/>
      <color rgb="FF5B6B79"/>
      <sz val="10"/>
    </font>
    <font>
      <b/>
      <color rgb="FFFFFFFF"/>
      <sz val="10"/>
    </font>
    <font>
      <b/>
      <color rgb="FF5B6B79"/>
    </font>
    <font>
      <b/>
      <color rgb="FF1E8449"/>
      <sz val="9"/>
    </font>
    <font>
      <b/>
      <color rgb="FF1F2933"/>
    </font>
    <font>
      <b/>
      <color rgb="FFB9770E"/>
      <sz val="9"/>
    </font>
    <font>
      <b/>
      <color rgb="FFB03A2E"/>
      <sz val="9"/>
    </font>
    <font>
      <b/>
      <color rgb="FF1B4F72"/>
    </font>
    <font>
      <b/>
      <color rgb="FF1E8449"/>
    </font>
    <font>
      <b/>
      <color rgb="FF1B4F72"/>
      <sz val="12"/>
    </font>
    <font>
      <i/>
      <color rgb="FF5B6B79"/>
      <sz val="9"/>
    </font>
  </fonts>
  <fills count="9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FF4F9"/>
      </patternFill>
    </fill>
    <fill>
      <patternFill patternType="solid">
        <fgColor rgb="FFE8F6EF"/>
      </patternFill>
    </fill>
    <fill>
      <patternFill patternType="solid">
        <fgColor rgb="FFFFFFFF"/>
      </patternFill>
    </fill>
    <fill>
      <patternFill patternType="solid">
        <fgColor rgb="FFFCF3E3"/>
      </patternFill>
    </fill>
    <fill>
      <patternFill patternType="solid">
        <fgColor rgb="FFFBEAE7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hair">
        <color rgb="FFEEEEEE"/>
      </left>
      <right style="hair">
        <color rgb="FFEEEEEE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3" fontId="0" fillId="3" borderId="0" xfId="0" applyNumberFormat="1" applyFill="1"/>
    <xf numFmtId="4" fontId="0" fillId="3" borderId="0" xfId="0" applyNumberFormat="1" applyFill="1"/>
    <xf numFmtId="3" fontId="0" fillId="0" borderId="0" xfId="0" applyNumberFormat="1"/>
    <xf numFmtId="4" fontId="0" fillId="0" borderId="0" xfId="0" applyNumberForma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3" fontId="0" fillId="0" borderId="1" xfId="0" applyNumberFormat="1" applyBorder="1" applyAlignment="1">
      <alignment vertical="top"/>
    </xf>
    <xf numFmtId="0" fontId="0" fillId="0" borderId="0" xfId="0" applyAlignment="1">
      <alignment vertical="top" wrapText="1"/>
    </xf>
    <xf numFmtId="0" fontId="8" fillId="5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1" fillId="8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13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11" fillId="0" borderId="0" xfId="0" applyNumberFormat="1" applyFont="1"/>
    <xf numFmtId="0" fontId="14" fillId="0" borderId="0" xfId="0" applyFont="1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3" fontId="12" fillId="4" borderId="0" xfId="0" applyNumberFormat="1" applyFont="1" applyFill="1"/>
    <xf numFmtId="0" fontId="14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3" width="14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4">
        <v>900</v>
      </c>
      <c r="C4" s="5">
        <f>B4/$B$9</f>
      </c>
    </row>
    <row r="5" spans="1:3" x14ac:dyDescent="0.25">
      <c r="A5" t="s">
        <v>5</v>
      </c>
      <c r="B5" s="6">
        <v>1000</v>
      </c>
      <c r="C5" s="7">
        <f>B5/$B$9</f>
      </c>
    </row>
    <row r="6" spans="1:3" x14ac:dyDescent="0.25">
      <c r="A6" s="3" t="s">
        <v>6</v>
      </c>
      <c r="B6" s="4">
        <v>1050</v>
      </c>
      <c r="C6" s="5">
        <f>B6/$B$9</f>
      </c>
    </row>
    <row r="7" spans="1:3" x14ac:dyDescent="0.25">
      <c r="A7" t="s">
        <v>7</v>
      </c>
      <c r="B7" s="6">
        <v>1150</v>
      </c>
      <c r="C7" s="7">
        <f>B7/$B$9</f>
      </c>
    </row>
    <row r="8" spans="1:3" x14ac:dyDescent="0.25">
      <c r="A8" s="3" t="s">
        <v>8</v>
      </c>
      <c r="B8" s="4">
        <v>850</v>
      </c>
      <c r="C8" s="5">
        <f>B8/$B$9</f>
      </c>
    </row>
    <row r="9" spans="1:2" x14ac:dyDescent="0.25">
      <c r="A9" s="8" t="s">
        <v>9</v>
      </c>
      <c r="B9">
        <v>8</v>
      </c>
    </row>
    <row r="11" spans="1:1" x14ac:dyDescent="0.25">
      <c r="A11" s="8" t="s">
        <v>10</v>
      </c>
    </row>
    <row r="12" spans="1:3" x14ac:dyDescent="0.25">
      <c r="A12" s="9" t="s">
        <v>11</v>
      </c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</sheetData>
  <mergeCells count="1">
    <mergeCell ref="A12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46" customWidth="1"/>
    <col min="5" max="5" width="10" customWidth="1"/>
    <col min="7" max="8" width="10" customWidth="1"/>
    <col min="10" max="10" width="11" customWidth="1"/>
    <col min="11" max="11" width="8" customWidth="1"/>
    <col min="12" max="12" width="12" customWidth="1"/>
    <col min="13" max="13" width="40" customWidth="1"/>
  </cols>
  <sheetData>
    <row r="1" ht="26" customHeight="1" spans="1:13" x14ac:dyDescent="0.25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</row>
    <row r="2" spans="1:13" s="11" customFormat="1" x14ac:dyDescent="0.25">
      <c r="A2" s="12" t="s">
        <v>25</v>
      </c>
      <c r="B2" s="13" t="s">
        <v>26</v>
      </c>
      <c r="C2" s="14" t="s">
        <v>27</v>
      </c>
      <c r="D2" s="15" t="s">
        <v>28</v>
      </c>
      <c r="E2" s="16" t="s">
        <v>29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f>SUM(F2:J2)</f>
      </c>
      <c r="L2" s="17">
        <f>F2*Rates!$B$4/Rates!$B$9+G2*Rates!$B$5/Rates!$B$9+H2*Rates!$B$6/Rates!$B$9+I2*Rates!$B$7/Rates!$B$9+J2*Rates!$B$8/Rates!$B$9</f>
      </c>
      <c r="M2" s="18"/>
    </row>
    <row r="3" spans="1:13" s="11" customFormat="1" x14ac:dyDescent="0.25">
      <c r="A3" s="12" t="s">
        <v>30</v>
      </c>
      <c r="B3" s="13" t="s">
        <v>26</v>
      </c>
      <c r="C3" s="14" t="s">
        <v>31</v>
      </c>
      <c r="D3" s="19" t="s">
        <v>32</v>
      </c>
      <c r="E3" s="20" t="s">
        <v>33</v>
      </c>
      <c r="F3" s="12">
        <v>3</v>
      </c>
      <c r="G3" s="12">
        <v>8</v>
      </c>
      <c r="H3" s="12">
        <v>10</v>
      </c>
      <c r="I3" s="12">
        <v>0</v>
      </c>
      <c r="J3" s="12">
        <v>2</v>
      </c>
      <c r="K3" s="12">
        <f>SUM(F3:J3)</f>
      </c>
      <c r="L3" s="17">
        <f>F3*Rates!$B$4/Rates!$B$9+G3*Rates!$B$5/Rates!$B$9+H3*Rates!$B$6/Rates!$B$9+I3*Rates!$B$7/Rates!$B$9+J3*Rates!$B$8/Rates!$B$9</f>
      </c>
      <c r="M3" s="18"/>
    </row>
    <row r="4" spans="1:13" s="11" customFormat="1" x14ac:dyDescent="0.25">
      <c r="A4" s="12" t="s">
        <v>34</v>
      </c>
      <c r="B4" s="13" t="s">
        <v>26</v>
      </c>
      <c r="C4" s="14" t="s">
        <v>35</v>
      </c>
      <c r="D4" s="19" t="s">
        <v>32</v>
      </c>
      <c r="E4" s="21" t="s">
        <v>36</v>
      </c>
      <c r="F4" s="12">
        <v>8</v>
      </c>
      <c r="G4" s="12">
        <v>20</v>
      </c>
      <c r="H4" s="12">
        <v>30</v>
      </c>
      <c r="I4" s="12">
        <v>4</v>
      </c>
      <c r="J4" s="12">
        <v>8</v>
      </c>
      <c r="K4" s="12">
        <f>SUM(F4:J4)</f>
      </c>
      <c r="L4" s="17">
        <f>F4*Rates!$B$4/Rates!$B$9+G4*Rates!$B$5/Rates!$B$9+H4*Rates!$B$6/Rates!$B$9+I4*Rates!$B$7/Rates!$B$9+J4*Rates!$B$8/Rates!$B$9</f>
      </c>
      <c r="M4" s="18"/>
    </row>
    <row r="5" spans="1:13" s="11" customFormat="1" x14ac:dyDescent="0.25">
      <c r="A5" s="12" t="s">
        <v>37</v>
      </c>
      <c r="B5" s="13" t="s">
        <v>26</v>
      </c>
      <c r="C5" s="14" t="s">
        <v>38</v>
      </c>
      <c r="D5" s="19" t="s">
        <v>32</v>
      </c>
      <c r="E5" s="21" t="s">
        <v>36</v>
      </c>
      <c r="F5" s="12">
        <v>4</v>
      </c>
      <c r="G5" s="12">
        <v>16</v>
      </c>
      <c r="H5" s="12">
        <v>16</v>
      </c>
      <c r="I5" s="12">
        <v>0</v>
      </c>
      <c r="J5" s="12">
        <v>4</v>
      </c>
      <c r="K5" s="12">
        <f>SUM(F5:J5)</f>
      </c>
      <c r="L5" s="17">
        <f>F5*Rates!$B$4/Rates!$B$9+G5*Rates!$B$5/Rates!$B$9+H5*Rates!$B$6/Rates!$B$9+I5*Rates!$B$7/Rates!$B$9+J5*Rates!$B$8/Rates!$B$9</f>
      </c>
      <c r="M5" s="18"/>
    </row>
    <row r="6" spans="1:13" s="11" customFormat="1" x14ac:dyDescent="0.25">
      <c r="A6" s="12" t="s">
        <v>39</v>
      </c>
      <c r="B6" s="13" t="s">
        <v>26</v>
      </c>
      <c r="C6" s="14" t="s">
        <v>40</v>
      </c>
      <c r="D6" s="19" t="s">
        <v>32</v>
      </c>
      <c r="E6" s="21" t="s">
        <v>36</v>
      </c>
      <c r="F6" s="12">
        <v>2</v>
      </c>
      <c r="G6" s="12">
        <v>4</v>
      </c>
      <c r="H6" s="12">
        <v>40</v>
      </c>
      <c r="I6" s="12">
        <v>6</v>
      </c>
      <c r="J6" s="12">
        <v>6</v>
      </c>
      <c r="K6" s="12">
        <f>SUM(F6:J6)</f>
      </c>
      <c r="L6" s="17">
        <f>F6*Rates!$B$4/Rates!$B$9+G6*Rates!$B$5/Rates!$B$9+H6*Rates!$B$6/Rates!$B$9+I6*Rates!$B$7/Rates!$B$9+J6*Rates!$B$8/Rates!$B$9</f>
      </c>
      <c r="M6" s="18"/>
    </row>
    <row r="7" spans="1:13" s="11" customFormat="1" x14ac:dyDescent="0.25">
      <c r="A7" s="12" t="s">
        <v>41</v>
      </c>
      <c r="B7" s="13" t="s">
        <v>26</v>
      </c>
      <c r="C7" s="14" t="s">
        <v>42</v>
      </c>
      <c r="D7" s="19" t="s">
        <v>32</v>
      </c>
      <c r="E7" s="16" t="s">
        <v>29</v>
      </c>
      <c r="F7" s="12">
        <v>0</v>
      </c>
      <c r="G7" s="12">
        <v>5</v>
      </c>
      <c r="H7" s="12">
        <v>0</v>
      </c>
      <c r="I7" s="12">
        <v>0</v>
      </c>
      <c r="J7" s="12">
        <v>1</v>
      </c>
      <c r="K7" s="12">
        <f>SUM(F7:J7)</f>
      </c>
      <c r="L7" s="17">
        <f>F7*Rates!$B$4/Rates!$B$9+G7*Rates!$B$5/Rates!$B$9+H7*Rates!$B$6/Rates!$B$9+I7*Rates!$B$7/Rates!$B$9+J7*Rates!$B$8/Rates!$B$9</f>
      </c>
      <c r="M7" s="18"/>
    </row>
    <row r="8" spans="1:13" s="11" customFormat="1" x14ac:dyDescent="0.25">
      <c r="A8" s="12" t="s">
        <v>43</v>
      </c>
      <c r="B8" s="13" t="s">
        <v>26</v>
      </c>
      <c r="C8" s="14" t="s">
        <v>44</v>
      </c>
      <c r="D8" s="19" t="s">
        <v>32</v>
      </c>
      <c r="E8" s="20" t="s">
        <v>33</v>
      </c>
      <c r="F8" s="12">
        <v>3</v>
      </c>
      <c r="G8" s="12">
        <v>14</v>
      </c>
      <c r="H8" s="12">
        <v>6</v>
      </c>
      <c r="I8" s="12">
        <v>0</v>
      </c>
      <c r="J8" s="12">
        <v>2</v>
      </c>
      <c r="K8" s="12">
        <f>SUM(F8:J8)</f>
      </c>
      <c r="L8" s="17">
        <f>F8*Rates!$B$4/Rates!$B$9+G8*Rates!$B$5/Rates!$B$9+H8*Rates!$B$6/Rates!$B$9+I8*Rates!$B$7/Rates!$B$9+J8*Rates!$B$8/Rates!$B$9</f>
      </c>
      <c r="M8" s="18"/>
    </row>
    <row r="9" spans="1:13" s="11" customFormat="1" x14ac:dyDescent="0.25">
      <c r="A9" s="12" t="s">
        <v>45</v>
      </c>
      <c r="B9" s="13" t="s">
        <v>26</v>
      </c>
      <c r="C9" s="14" t="s">
        <v>46</v>
      </c>
      <c r="D9" s="19" t="s">
        <v>32</v>
      </c>
      <c r="E9" s="20" t="s">
        <v>33</v>
      </c>
      <c r="F9" s="12">
        <v>6</v>
      </c>
      <c r="G9" s="12">
        <v>28</v>
      </c>
      <c r="H9" s="12">
        <v>30</v>
      </c>
      <c r="I9" s="12">
        <v>0</v>
      </c>
      <c r="J9" s="12">
        <v>6</v>
      </c>
      <c r="K9" s="12">
        <f>SUM(F9:J9)</f>
      </c>
      <c r="L9" s="17">
        <f>F9*Rates!$B$4/Rates!$B$9+G9*Rates!$B$5/Rates!$B$9+H9*Rates!$B$6/Rates!$B$9+I9*Rates!$B$7/Rates!$B$9+J9*Rates!$B$8/Rates!$B$9</f>
      </c>
      <c r="M9" s="18"/>
    </row>
    <row r="10" spans="1:13" s="11" customFormat="1" x14ac:dyDescent="0.25">
      <c r="A10" s="12" t="s">
        <v>47</v>
      </c>
      <c r="B10" s="13" t="s">
        <v>26</v>
      </c>
      <c r="C10" s="14" t="s">
        <v>48</v>
      </c>
      <c r="D10" s="19" t="s">
        <v>32</v>
      </c>
      <c r="E10" s="20" t="s">
        <v>33</v>
      </c>
      <c r="F10" s="12">
        <v>8</v>
      </c>
      <c r="G10" s="12">
        <v>28</v>
      </c>
      <c r="H10" s="12">
        <v>28</v>
      </c>
      <c r="I10" s="12">
        <v>0</v>
      </c>
      <c r="J10" s="12">
        <v>6</v>
      </c>
      <c r="K10" s="12">
        <f>SUM(F10:J10)</f>
      </c>
      <c r="L10" s="17">
        <f>F10*Rates!$B$4/Rates!$B$9+G10*Rates!$B$5/Rates!$B$9+H10*Rates!$B$6/Rates!$B$9+I10*Rates!$B$7/Rates!$B$9+J10*Rates!$B$8/Rates!$B$9</f>
      </c>
      <c r="M10" s="18"/>
    </row>
    <row r="11" spans="1:13" s="11" customFormat="1" x14ac:dyDescent="0.25">
      <c r="A11" s="12" t="s">
        <v>49</v>
      </c>
      <c r="B11" s="13" t="s">
        <v>50</v>
      </c>
      <c r="C11" s="14" t="s">
        <v>51</v>
      </c>
      <c r="D11" s="19" t="s">
        <v>32</v>
      </c>
      <c r="E11" s="21" t="s">
        <v>36</v>
      </c>
      <c r="F11" s="12">
        <v>4</v>
      </c>
      <c r="G11" s="12">
        <v>16</v>
      </c>
      <c r="H11" s="12">
        <v>20</v>
      </c>
      <c r="I11" s="12">
        <v>4</v>
      </c>
      <c r="J11" s="12">
        <v>4</v>
      </c>
      <c r="K11" s="12">
        <f>SUM(F11:J11)</f>
      </c>
      <c r="L11" s="17">
        <f>F11*Rates!$B$4/Rates!$B$9+G11*Rates!$B$5/Rates!$B$9+H11*Rates!$B$6/Rates!$B$9+I11*Rates!$B$7/Rates!$B$9+J11*Rates!$B$8/Rates!$B$9</f>
      </c>
      <c r="M11" s="18"/>
    </row>
    <row r="12" spans="1:13" s="11" customFormat="1" x14ac:dyDescent="0.25">
      <c r="A12" s="12" t="s">
        <v>52</v>
      </c>
      <c r="B12" s="13" t="s">
        <v>50</v>
      </c>
      <c r="C12" s="14" t="s">
        <v>53</v>
      </c>
      <c r="D12" s="19" t="s">
        <v>32</v>
      </c>
      <c r="E12" s="21" t="s">
        <v>36</v>
      </c>
      <c r="F12" s="12">
        <v>3</v>
      </c>
      <c r="G12" s="12">
        <v>14</v>
      </c>
      <c r="H12" s="12">
        <v>6</v>
      </c>
      <c r="I12" s="12">
        <v>0</v>
      </c>
      <c r="J12" s="12">
        <v>2</v>
      </c>
      <c r="K12" s="12">
        <f>SUM(F12:J12)</f>
      </c>
      <c r="L12" s="17">
        <f>F12*Rates!$B$4/Rates!$B$9+G12*Rates!$B$5/Rates!$B$9+H12*Rates!$B$6/Rates!$B$9+I12*Rates!$B$7/Rates!$B$9+J12*Rates!$B$8/Rates!$B$9</f>
      </c>
      <c r="M12" s="18"/>
    </row>
    <row r="13" spans="1:13" s="11" customFormat="1" x14ac:dyDescent="0.25">
      <c r="A13" s="12" t="s">
        <v>54</v>
      </c>
      <c r="B13" s="13" t="s">
        <v>50</v>
      </c>
      <c r="C13" s="14" t="s">
        <v>55</v>
      </c>
      <c r="D13" s="19" t="s">
        <v>32</v>
      </c>
      <c r="E13" s="21" t="s">
        <v>36</v>
      </c>
      <c r="F13" s="12">
        <v>2</v>
      </c>
      <c r="G13" s="12">
        <v>6</v>
      </c>
      <c r="H13" s="12">
        <v>60</v>
      </c>
      <c r="I13" s="12">
        <v>6</v>
      </c>
      <c r="J13" s="12">
        <v>8</v>
      </c>
      <c r="K13" s="12">
        <f>SUM(F13:J13)</f>
      </c>
      <c r="L13" s="17">
        <f>F13*Rates!$B$4/Rates!$B$9+G13*Rates!$B$5/Rates!$B$9+H13*Rates!$B$6/Rates!$B$9+I13*Rates!$B$7/Rates!$B$9+J13*Rates!$B$8/Rates!$B$9</f>
      </c>
      <c r="M13" s="18"/>
    </row>
    <row r="14" spans="1:13" s="11" customFormat="1" x14ac:dyDescent="0.25">
      <c r="A14" s="12" t="s">
        <v>56</v>
      </c>
      <c r="B14" s="13" t="s">
        <v>50</v>
      </c>
      <c r="C14" s="14" t="s">
        <v>57</v>
      </c>
      <c r="D14" s="19" t="s">
        <v>32</v>
      </c>
      <c r="E14" s="21" t="s">
        <v>36</v>
      </c>
      <c r="F14" s="12">
        <v>4</v>
      </c>
      <c r="G14" s="12">
        <v>14</v>
      </c>
      <c r="H14" s="12">
        <v>6</v>
      </c>
      <c r="I14" s="12">
        <v>0</v>
      </c>
      <c r="J14" s="12">
        <v>1</v>
      </c>
      <c r="K14" s="12">
        <f>SUM(F14:J14)</f>
      </c>
      <c r="L14" s="17">
        <f>F14*Rates!$B$4/Rates!$B$9+G14*Rates!$B$5/Rates!$B$9+H14*Rates!$B$6/Rates!$B$9+I14*Rates!$B$7/Rates!$B$9+J14*Rates!$B$8/Rates!$B$9</f>
      </c>
      <c r="M14" s="18"/>
    </row>
    <row r="15" spans="1:13" s="11" customFormat="1" x14ac:dyDescent="0.25">
      <c r="A15" s="12" t="s">
        <v>58</v>
      </c>
      <c r="B15" s="13" t="s">
        <v>59</v>
      </c>
      <c r="C15" s="14" t="s">
        <v>60</v>
      </c>
      <c r="D15" s="19" t="s">
        <v>32</v>
      </c>
      <c r="E15" s="16" t="s">
        <v>29</v>
      </c>
      <c r="F15" s="12">
        <v>0</v>
      </c>
      <c r="G15" s="12">
        <v>4</v>
      </c>
      <c r="H15" s="12">
        <v>2</v>
      </c>
      <c r="I15" s="12">
        <v>0</v>
      </c>
      <c r="J15" s="12">
        <v>1</v>
      </c>
      <c r="K15" s="12">
        <f>SUM(F15:J15)</f>
      </c>
      <c r="L15" s="17">
        <f>F15*Rates!$B$4/Rates!$B$9+G15*Rates!$B$5/Rates!$B$9+H15*Rates!$B$6/Rates!$B$9+I15*Rates!$B$7/Rates!$B$9+J15*Rates!$B$8/Rates!$B$9</f>
      </c>
      <c r="M15" s="18"/>
    </row>
    <row r="16" spans="1:13" s="11" customFormat="1" x14ac:dyDescent="0.25">
      <c r="A16" s="12" t="s">
        <v>61</v>
      </c>
      <c r="B16" s="13" t="s">
        <v>59</v>
      </c>
      <c r="C16" s="14" t="s">
        <v>62</v>
      </c>
      <c r="D16" s="19" t="s">
        <v>32</v>
      </c>
      <c r="E16" s="20" t="s">
        <v>33</v>
      </c>
      <c r="F16" s="12">
        <v>2</v>
      </c>
      <c r="G16" s="12">
        <v>4</v>
      </c>
      <c r="H16" s="12">
        <v>16</v>
      </c>
      <c r="I16" s="12">
        <v>0</v>
      </c>
      <c r="J16" s="12">
        <v>3</v>
      </c>
      <c r="K16" s="12">
        <f>SUM(F16:J16)</f>
      </c>
      <c r="L16" s="17">
        <f>F16*Rates!$B$4/Rates!$B$9+G16*Rates!$B$5/Rates!$B$9+H16*Rates!$B$6/Rates!$B$9+I16*Rates!$B$7/Rates!$B$9+J16*Rates!$B$8/Rates!$B$9</f>
      </c>
      <c r="M16" s="18"/>
    </row>
    <row r="17" spans="1:13" s="11" customFormat="1" x14ac:dyDescent="0.25">
      <c r="A17" s="12" t="s">
        <v>63</v>
      </c>
      <c r="B17" s="13" t="s">
        <v>59</v>
      </c>
      <c r="C17" s="14" t="s">
        <v>64</v>
      </c>
      <c r="D17" s="19" t="s">
        <v>32</v>
      </c>
      <c r="E17" s="20" t="s">
        <v>33</v>
      </c>
      <c r="F17" s="12">
        <v>1</v>
      </c>
      <c r="G17" s="12">
        <v>3</v>
      </c>
      <c r="H17" s="12">
        <v>18</v>
      </c>
      <c r="I17" s="12">
        <v>0</v>
      </c>
      <c r="J17" s="12">
        <v>3</v>
      </c>
      <c r="K17" s="12">
        <f>SUM(F17:J17)</f>
      </c>
      <c r="L17" s="17">
        <f>F17*Rates!$B$4/Rates!$B$9+G17*Rates!$B$5/Rates!$B$9+H17*Rates!$B$6/Rates!$B$9+I17*Rates!$B$7/Rates!$B$9+J17*Rates!$B$8/Rates!$B$9</f>
      </c>
      <c r="M17" s="18"/>
    </row>
    <row r="18" spans="1:13" s="11" customFormat="1" x14ac:dyDescent="0.25">
      <c r="A18" s="12" t="s">
        <v>65</v>
      </c>
      <c r="B18" s="13" t="s">
        <v>59</v>
      </c>
      <c r="C18" s="14" t="s">
        <v>66</v>
      </c>
      <c r="D18" s="19" t="s">
        <v>32</v>
      </c>
      <c r="E18" s="20" t="s">
        <v>33</v>
      </c>
      <c r="F18" s="12">
        <v>8</v>
      </c>
      <c r="G18" s="12">
        <v>14</v>
      </c>
      <c r="H18" s="12">
        <v>2</v>
      </c>
      <c r="I18" s="12">
        <v>0</v>
      </c>
      <c r="J18" s="12">
        <v>1</v>
      </c>
      <c r="K18" s="12">
        <f>SUM(F18:J18)</f>
      </c>
      <c r="L18" s="17">
        <f>F18*Rates!$B$4/Rates!$B$9+G18*Rates!$B$5/Rates!$B$9+H18*Rates!$B$6/Rates!$B$9+I18*Rates!$B$7/Rates!$B$9+J18*Rates!$B$8/Rates!$B$9</f>
      </c>
      <c r="M18" s="18"/>
    </row>
    <row r="19" spans="1:13" s="11" customFormat="1" x14ac:dyDescent="0.25">
      <c r="A19" s="12" t="s">
        <v>67</v>
      </c>
      <c r="B19" s="13" t="s">
        <v>68</v>
      </c>
      <c r="C19" s="14" t="s">
        <v>69</v>
      </c>
      <c r="D19" s="22" t="s">
        <v>70</v>
      </c>
      <c r="E19" s="21" t="s">
        <v>36</v>
      </c>
      <c r="F19" s="12">
        <v>8</v>
      </c>
      <c r="G19" s="12">
        <v>28</v>
      </c>
      <c r="H19" s="12">
        <v>36</v>
      </c>
      <c r="I19" s="12">
        <v>4</v>
      </c>
      <c r="J19" s="12">
        <v>8</v>
      </c>
      <c r="K19" s="12">
        <f>SUM(F19:J19)</f>
      </c>
      <c r="L19" s="17">
        <f>F19*Rates!$B$4/Rates!$B$9+G19*Rates!$B$5/Rates!$B$9+H19*Rates!$B$6/Rates!$B$9+I19*Rates!$B$7/Rates!$B$9+J19*Rates!$B$8/Rates!$B$9</f>
      </c>
      <c r="M19" s="14" t="s">
        <v>71</v>
      </c>
    </row>
    <row r="20" spans="1:13" s="11" customFormat="1" x14ac:dyDescent="0.25">
      <c r="A20" s="12" t="s">
        <v>72</v>
      </c>
      <c r="B20" s="13" t="s">
        <v>68</v>
      </c>
      <c r="C20" s="14" t="s">
        <v>73</v>
      </c>
      <c r="D20" s="19" t="s">
        <v>32</v>
      </c>
      <c r="E20" s="20" t="s">
        <v>33</v>
      </c>
      <c r="F20" s="12">
        <v>4</v>
      </c>
      <c r="G20" s="12">
        <v>24</v>
      </c>
      <c r="H20" s="12">
        <v>16</v>
      </c>
      <c r="I20" s="12">
        <v>0</v>
      </c>
      <c r="J20" s="12">
        <v>4</v>
      </c>
      <c r="K20" s="12">
        <f>SUM(F20:J20)</f>
      </c>
      <c r="L20" s="17">
        <f>F20*Rates!$B$4/Rates!$B$9+G20*Rates!$B$5/Rates!$B$9+H20*Rates!$B$6/Rates!$B$9+I20*Rates!$B$7/Rates!$B$9+J20*Rates!$B$8/Rates!$B$9</f>
      </c>
      <c r="M20" s="18"/>
    </row>
    <row r="21" spans="1:13" s="11" customFormat="1" x14ac:dyDescent="0.25">
      <c r="A21" s="12" t="s">
        <v>74</v>
      </c>
      <c r="B21" s="13" t="s">
        <v>68</v>
      </c>
      <c r="C21" s="14" t="s">
        <v>75</v>
      </c>
      <c r="D21" s="19" t="s">
        <v>32</v>
      </c>
      <c r="E21" s="21" t="s">
        <v>36</v>
      </c>
      <c r="F21" s="12">
        <v>2</v>
      </c>
      <c r="G21" s="12">
        <v>10</v>
      </c>
      <c r="H21" s="12">
        <v>8</v>
      </c>
      <c r="I21" s="12">
        <v>0</v>
      </c>
      <c r="J21" s="12">
        <v>2</v>
      </c>
      <c r="K21" s="12">
        <f>SUM(F21:J21)</f>
      </c>
      <c r="L21" s="17">
        <f>F21*Rates!$B$4/Rates!$B$9+G21*Rates!$B$5/Rates!$B$9+H21*Rates!$B$6/Rates!$B$9+I21*Rates!$B$7/Rates!$B$9+J21*Rates!$B$8/Rates!$B$9</f>
      </c>
      <c r="M21" s="18"/>
    </row>
    <row r="22" spans="1:13" s="11" customFormat="1" x14ac:dyDescent="0.25">
      <c r="A22" s="12" t="s">
        <v>76</v>
      </c>
      <c r="B22" s="13" t="s">
        <v>68</v>
      </c>
      <c r="C22" s="14" t="s">
        <v>77</v>
      </c>
      <c r="D22" s="19" t="s">
        <v>32</v>
      </c>
      <c r="E22" s="20" t="s">
        <v>33</v>
      </c>
      <c r="F22" s="12">
        <v>2</v>
      </c>
      <c r="G22" s="12">
        <v>8</v>
      </c>
      <c r="H22" s="12">
        <v>12</v>
      </c>
      <c r="I22" s="12">
        <v>0</v>
      </c>
      <c r="J22" s="12">
        <v>2</v>
      </c>
      <c r="K22" s="12">
        <f>SUM(F22:J22)</f>
      </c>
      <c r="L22" s="17">
        <f>F22*Rates!$B$4/Rates!$B$9+G22*Rates!$B$5/Rates!$B$9+H22*Rates!$B$6/Rates!$B$9+I22*Rates!$B$7/Rates!$B$9+J22*Rates!$B$8/Rates!$B$9</f>
      </c>
      <c r="M22" s="18"/>
    </row>
    <row r="23" spans="1:13" s="11" customFormat="1" x14ac:dyDescent="0.25">
      <c r="A23" s="12" t="s">
        <v>78</v>
      </c>
      <c r="B23" s="13" t="s">
        <v>79</v>
      </c>
      <c r="C23" s="14" t="s">
        <v>80</v>
      </c>
      <c r="D23" s="19" t="s">
        <v>32</v>
      </c>
      <c r="E23" s="21" t="s">
        <v>36</v>
      </c>
      <c r="F23" s="12">
        <v>0</v>
      </c>
      <c r="G23" s="12">
        <v>6</v>
      </c>
      <c r="H23" s="12">
        <v>16</v>
      </c>
      <c r="I23" s="12">
        <v>2</v>
      </c>
      <c r="J23" s="12">
        <v>2</v>
      </c>
      <c r="K23" s="12">
        <f>SUM(F23:J23)</f>
      </c>
      <c r="L23" s="17">
        <f>F23*Rates!$B$4/Rates!$B$9+G23*Rates!$B$5/Rates!$B$9+H23*Rates!$B$6/Rates!$B$9+I23*Rates!$B$7/Rates!$B$9+J23*Rates!$B$8/Rates!$B$9</f>
      </c>
      <c r="M23" s="18"/>
    </row>
    <row r="24" spans="1:13" s="11" customFormat="1" x14ac:dyDescent="0.25">
      <c r="A24" s="12" t="s">
        <v>81</v>
      </c>
      <c r="B24" s="13" t="s">
        <v>79</v>
      </c>
      <c r="C24" s="14" t="s">
        <v>82</v>
      </c>
      <c r="D24" s="19" t="s">
        <v>32</v>
      </c>
      <c r="E24" s="20" t="s">
        <v>33</v>
      </c>
      <c r="F24" s="12">
        <v>0</v>
      </c>
      <c r="G24" s="12">
        <v>6</v>
      </c>
      <c r="H24" s="12">
        <v>12</v>
      </c>
      <c r="I24" s="12">
        <v>0</v>
      </c>
      <c r="J24" s="12">
        <v>2</v>
      </c>
      <c r="K24" s="12">
        <f>SUM(F24:J24)</f>
      </c>
      <c r="L24" s="17">
        <f>F24*Rates!$B$4/Rates!$B$9+G24*Rates!$B$5/Rates!$B$9+H24*Rates!$B$6/Rates!$B$9+I24*Rates!$B$7/Rates!$B$9+J24*Rates!$B$8/Rates!$B$9</f>
      </c>
      <c r="M24" s="18"/>
    </row>
    <row r="25" spans="1:13" s="11" customFormat="1" x14ac:dyDescent="0.25">
      <c r="A25" s="12" t="s">
        <v>83</v>
      </c>
      <c r="B25" s="13" t="s">
        <v>79</v>
      </c>
      <c r="C25" s="14" t="s">
        <v>84</v>
      </c>
      <c r="D25" s="19" t="s">
        <v>32</v>
      </c>
      <c r="E25" s="21" t="s">
        <v>36</v>
      </c>
      <c r="F25" s="12">
        <v>2</v>
      </c>
      <c r="G25" s="12">
        <v>14</v>
      </c>
      <c r="H25" s="12">
        <v>28</v>
      </c>
      <c r="I25" s="12">
        <v>0</v>
      </c>
      <c r="J25" s="12">
        <v>4</v>
      </c>
      <c r="K25" s="12">
        <f>SUM(F25:J25)</f>
      </c>
      <c r="L25" s="17">
        <f>F25*Rates!$B$4/Rates!$B$9+G25*Rates!$B$5/Rates!$B$9+H25*Rates!$B$6/Rates!$B$9+I25*Rates!$B$7/Rates!$B$9+J25*Rates!$B$8/Rates!$B$9</f>
      </c>
      <c r="M25" s="18"/>
    </row>
    <row r="26" spans="1:13" s="11" customFormat="1" x14ac:dyDescent="0.25">
      <c r="A26" s="12" t="s">
        <v>85</v>
      </c>
      <c r="B26" s="13" t="s">
        <v>79</v>
      </c>
      <c r="C26" s="14" t="s">
        <v>86</v>
      </c>
      <c r="D26" s="19" t="s">
        <v>32</v>
      </c>
      <c r="E26" s="21" t="s">
        <v>36</v>
      </c>
      <c r="F26" s="12">
        <v>0</v>
      </c>
      <c r="G26" s="12">
        <v>12</v>
      </c>
      <c r="H26" s="12">
        <v>30</v>
      </c>
      <c r="I26" s="12">
        <v>2</v>
      </c>
      <c r="J26" s="12">
        <v>4</v>
      </c>
      <c r="K26" s="12">
        <f>SUM(F26:J26)</f>
      </c>
      <c r="L26" s="17">
        <f>F26*Rates!$B$4/Rates!$B$9+G26*Rates!$B$5/Rates!$B$9+H26*Rates!$B$6/Rates!$B$9+I26*Rates!$B$7/Rates!$B$9+J26*Rates!$B$8/Rates!$B$9</f>
      </c>
      <c r="M26" s="18"/>
    </row>
    <row r="27" spans="1:13" s="11" customFormat="1" x14ac:dyDescent="0.25">
      <c r="A27" s="12" t="s">
        <v>87</v>
      </c>
      <c r="B27" s="13" t="s">
        <v>88</v>
      </c>
      <c r="C27" s="14" t="s">
        <v>89</v>
      </c>
      <c r="D27" s="19" t="s">
        <v>32</v>
      </c>
      <c r="E27" s="20" t="s">
        <v>33</v>
      </c>
      <c r="F27" s="12">
        <v>6</v>
      </c>
      <c r="G27" s="12">
        <v>18</v>
      </c>
      <c r="H27" s="12">
        <v>16</v>
      </c>
      <c r="I27" s="12">
        <v>2</v>
      </c>
      <c r="J27" s="12">
        <v>6</v>
      </c>
      <c r="K27" s="12">
        <f>SUM(F27:J27)</f>
      </c>
      <c r="L27" s="17">
        <f>F27*Rates!$B$4/Rates!$B$9+G27*Rates!$B$5/Rates!$B$9+H27*Rates!$B$6/Rates!$B$9+I27*Rates!$B$7/Rates!$B$9+J27*Rates!$B$8/Rates!$B$9</f>
      </c>
      <c r="M27" s="18"/>
    </row>
    <row r="28" spans="1:13" s="11" customFormat="1" x14ac:dyDescent="0.25">
      <c r="A28" s="12" t="s">
        <v>90</v>
      </c>
      <c r="B28" s="13" t="s">
        <v>91</v>
      </c>
      <c r="C28" s="14" t="s">
        <v>92</v>
      </c>
      <c r="D28" s="19" t="s">
        <v>32</v>
      </c>
      <c r="E28" s="21" t="s">
        <v>36</v>
      </c>
      <c r="F28" s="12">
        <v>2</v>
      </c>
      <c r="G28" s="12">
        <v>8</v>
      </c>
      <c r="H28" s="12">
        <v>12</v>
      </c>
      <c r="I28" s="12">
        <v>0</v>
      </c>
      <c r="J28" s="12">
        <v>3</v>
      </c>
      <c r="K28" s="12">
        <f>SUM(F28:J28)</f>
      </c>
      <c r="L28" s="17">
        <f>F28*Rates!$B$4/Rates!$B$9+G28*Rates!$B$5/Rates!$B$9+H28*Rates!$B$6/Rates!$B$9+I28*Rates!$B$7/Rates!$B$9+J28*Rates!$B$8/Rates!$B$9</f>
      </c>
      <c r="M28" s="18"/>
    </row>
    <row r="29" spans="1:13" s="11" customFormat="1" x14ac:dyDescent="0.25">
      <c r="A29" s="12" t="s">
        <v>93</v>
      </c>
      <c r="B29" s="13" t="s">
        <v>94</v>
      </c>
      <c r="C29" s="14" t="s">
        <v>95</v>
      </c>
      <c r="D29" s="19" t="s">
        <v>32</v>
      </c>
      <c r="E29" s="21" t="s">
        <v>36</v>
      </c>
      <c r="F29" s="12">
        <v>2</v>
      </c>
      <c r="G29" s="12">
        <v>14</v>
      </c>
      <c r="H29" s="12">
        <v>6</v>
      </c>
      <c r="I29" s="12">
        <v>0</v>
      </c>
      <c r="J29" s="12">
        <v>3</v>
      </c>
      <c r="K29" s="12">
        <f>SUM(F29:J29)</f>
      </c>
      <c r="L29" s="17">
        <f>F29*Rates!$B$4/Rates!$B$9+G29*Rates!$B$5/Rates!$B$9+H29*Rates!$B$6/Rates!$B$9+I29*Rates!$B$7/Rates!$B$9+J29*Rates!$B$8/Rates!$B$9</f>
      </c>
      <c r="M29" s="18"/>
    </row>
    <row r="30" spans="1:13" s="11" customFormat="1" x14ac:dyDescent="0.25">
      <c r="A30" s="12" t="s">
        <v>96</v>
      </c>
      <c r="B30" s="13" t="s">
        <v>94</v>
      </c>
      <c r="C30" s="14" t="s">
        <v>97</v>
      </c>
      <c r="D30" s="19" t="s">
        <v>32</v>
      </c>
      <c r="E30" s="21" t="s">
        <v>36</v>
      </c>
      <c r="F30" s="12">
        <v>2</v>
      </c>
      <c r="G30" s="12">
        <v>12</v>
      </c>
      <c r="H30" s="12">
        <v>28</v>
      </c>
      <c r="I30" s="12">
        <v>0</v>
      </c>
      <c r="J30" s="12">
        <v>6</v>
      </c>
      <c r="K30" s="12">
        <f>SUM(F30:J30)</f>
      </c>
      <c r="L30" s="17">
        <f>F30*Rates!$B$4/Rates!$B$9+G30*Rates!$B$5/Rates!$B$9+H30*Rates!$B$6/Rates!$B$9+I30*Rates!$B$7/Rates!$B$9+J30*Rates!$B$8/Rates!$B$9</f>
      </c>
      <c r="M30" s="18"/>
    </row>
    <row r="31" spans="1:13" s="11" customFormat="1" x14ac:dyDescent="0.25">
      <c r="A31" s="12" t="s">
        <v>98</v>
      </c>
      <c r="B31" s="13" t="s">
        <v>94</v>
      </c>
      <c r="C31" s="14" t="s">
        <v>99</v>
      </c>
      <c r="D31" s="19" t="s">
        <v>32</v>
      </c>
      <c r="E31" s="20" t="s">
        <v>33</v>
      </c>
      <c r="F31" s="12">
        <v>0</v>
      </c>
      <c r="G31" s="12">
        <v>5</v>
      </c>
      <c r="H31" s="12">
        <v>12</v>
      </c>
      <c r="I31" s="12">
        <v>0</v>
      </c>
      <c r="J31" s="12">
        <v>3</v>
      </c>
      <c r="K31" s="12">
        <f>SUM(F31:J31)</f>
      </c>
      <c r="L31" s="17">
        <f>F31*Rates!$B$4/Rates!$B$9+G31*Rates!$B$5/Rates!$B$9+H31*Rates!$B$6/Rates!$B$9+I31*Rates!$B$7/Rates!$B$9+J31*Rates!$B$8/Rates!$B$9</f>
      </c>
      <c r="M31" s="18"/>
    </row>
    <row r="32" spans="1:13" s="11" customFormat="1" x14ac:dyDescent="0.25">
      <c r="A32" s="12" t="s">
        <v>100</v>
      </c>
      <c r="B32" s="13" t="s">
        <v>101</v>
      </c>
      <c r="C32" s="14" t="s">
        <v>102</v>
      </c>
      <c r="D32" s="23" t="s">
        <v>103</v>
      </c>
      <c r="E32" s="20" t="s">
        <v>33</v>
      </c>
      <c r="F32" s="12">
        <v>36</v>
      </c>
      <c r="G32" s="12">
        <v>30</v>
      </c>
      <c r="H32" s="12">
        <v>0</v>
      </c>
      <c r="I32" s="12">
        <v>6</v>
      </c>
      <c r="J32" s="12">
        <v>6</v>
      </c>
      <c r="K32" s="12">
        <f>SUM(F32:J32)</f>
      </c>
      <c r="L32" s="17">
        <v>0</v>
      </c>
      <c r="M32" s="14" t="s">
        <v>104</v>
      </c>
    </row>
    <row r="33" spans="1:13" s="11" customFormat="1" x14ac:dyDescent="0.25">
      <c r="A33" s="12" t="s">
        <v>105</v>
      </c>
      <c r="B33" s="13" t="s">
        <v>106</v>
      </c>
      <c r="C33" s="14" t="s">
        <v>107</v>
      </c>
      <c r="D33" s="19" t="s">
        <v>32</v>
      </c>
      <c r="E33" s="20" t="s">
        <v>33</v>
      </c>
      <c r="F33" s="12">
        <v>4</v>
      </c>
      <c r="G33" s="12">
        <v>10</v>
      </c>
      <c r="H33" s="12">
        <v>8</v>
      </c>
      <c r="I33" s="12">
        <v>0</v>
      </c>
      <c r="J33" s="12">
        <v>2</v>
      </c>
      <c r="K33" s="12">
        <f>SUM(F33:J33)</f>
      </c>
      <c r="L33" s="17">
        <f>F33*Rates!$B$4/Rates!$B$9+G33*Rates!$B$5/Rates!$B$9+H33*Rates!$B$6/Rates!$B$9+I33*Rates!$B$7/Rates!$B$9+J33*Rates!$B$8/Rates!$B$9</f>
      </c>
      <c r="M33" s="18"/>
    </row>
    <row r="34" spans="1:13" s="11" customFormat="1" x14ac:dyDescent="0.25">
      <c r="A34" s="12" t="s">
        <v>108</v>
      </c>
      <c r="B34" s="13" t="s">
        <v>106</v>
      </c>
      <c r="C34" s="14" t="s">
        <v>109</v>
      </c>
      <c r="D34" s="19" t="s">
        <v>32</v>
      </c>
      <c r="E34" s="21" t="s">
        <v>36</v>
      </c>
      <c r="F34" s="12">
        <v>6</v>
      </c>
      <c r="G34" s="12">
        <v>16</v>
      </c>
      <c r="H34" s="12">
        <v>20</v>
      </c>
      <c r="I34" s="12">
        <v>2</v>
      </c>
      <c r="J34" s="12">
        <v>4</v>
      </c>
      <c r="K34" s="12">
        <f>SUM(F34:J34)</f>
      </c>
      <c r="L34" s="17">
        <f>F34*Rates!$B$4/Rates!$B$9+G34*Rates!$B$5/Rates!$B$9+H34*Rates!$B$6/Rates!$B$9+I34*Rates!$B$7/Rates!$B$9+J34*Rates!$B$8/Rates!$B$9</f>
      </c>
      <c r="M34" s="18"/>
    </row>
    <row r="35" spans="1:13" s="11" customFormat="1" x14ac:dyDescent="0.25">
      <c r="A35" s="12" t="s">
        <v>110</v>
      </c>
      <c r="B35" s="13" t="s">
        <v>111</v>
      </c>
      <c r="C35" s="14" t="s">
        <v>112</v>
      </c>
      <c r="D35" s="19" t="s">
        <v>32</v>
      </c>
      <c r="E35" s="20" t="s">
        <v>33</v>
      </c>
      <c r="F35" s="12">
        <v>2</v>
      </c>
      <c r="G35" s="12">
        <v>10</v>
      </c>
      <c r="H35" s="12">
        <v>10</v>
      </c>
      <c r="I35" s="12">
        <v>0</v>
      </c>
      <c r="J35" s="12">
        <v>3</v>
      </c>
      <c r="K35" s="12">
        <f>SUM(F35:J35)</f>
      </c>
      <c r="L35" s="17">
        <f>F35*Rates!$B$4/Rates!$B$9+G35*Rates!$B$5/Rates!$B$9+H35*Rates!$B$6/Rates!$B$9+I35*Rates!$B$7/Rates!$B$9+J35*Rates!$B$8/Rates!$B$9</f>
      </c>
      <c r="M35" s="18"/>
    </row>
    <row r="36" spans="1:13" s="11" customFormat="1" x14ac:dyDescent="0.25">
      <c r="A36" s="12" t="s">
        <v>113</v>
      </c>
      <c r="B36" s="13" t="s">
        <v>111</v>
      </c>
      <c r="C36" s="14" t="s">
        <v>114</v>
      </c>
      <c r="D36" s="19" t="s">
        <v>32</v>
      </c>
      <c r="E36" s="21" t="s">
        <v>36</v>
      </c>
      <c r="F36" s="12">
        <v>3</v>
      </c>
      <c r="G36" s="12">
        <v>18</v>
      </c>
      <c r="H36" s="12">
        <v>16</v>
      </c>
      <c r="I36" s="12">
        <v>0</v>
      </c>
      <c r="J36" s="12">
        <v>3</v>
      </c>
      <c r="K36" s="12">
        <f>SUM(F36:J36)</f>
      </c>
      <c r="L36" s="17">
        <f>F36*Rates!$B$4/Rates!$B$9+G36*Rates!$B$5/Rates!$B$9+H36*Rates!$B$6/Rates!$B$9+I36*Rates!$B$7/Rates!$B$9+J36*Rates!$B$8/Rates!$B$9</f>
      </c>
      <c r="M36" s="18"/>
    </row>
    <row r="37" spans="1:13" s="11" customFormat="1" x14ac:dyDescent="0.25">
      <c r="A37" s="12" t="s">
        <v>115</v>
      </c>
      <c r="B37" s="13" t="s">
        <v>111</v>
      </c>
      <c r="C37" s="14" t="s">
        <v>116</v>
      </c>
      <c r="D37" s="19" t="s">
        <v>32</v>
      </c>
      <c r="E37" s="21" t="s">
        <v>36</v>
      </c>
      <c r="F37" s="12">
        <v>10</v>
      </c>
      <c r="G37" s="12">
        <v>28</v>
      </c>
      <c r="H37" s="12">
        <v>28</v>
      </c>
      <c r="I37" s="12">
        <v>0</v>
      </c>
      <c r="J37" s="12">
        <v>8</v>
      </c>
      <c r="K37" s="12">
        <f>SUM(F37:J37)</f>
      </c>
      <c r="L37" s="17">
        <f>F37*Rates!$B$4/Rates!$B$9+G37*Rates!$B$5/Rates!$B$9+H37*Rates!$B$6/Rates!$B$9+I37*Rates!$B$7/Rates!$B$9+J37*Rates!$B$8/Rates!$B$9</f>
      </c>
      <c r="M37" s="18"/>
    </row>
    <row r="38" spans="1:13" s="11" customFormat="1" x14ac:dyDescent="0.25">
      <c r="A38" s="12" t="s">
        <v>117</v>
      </c>
      <c r="B38" s="13" t="s">
        <v>111</v>
      </c>
      <c r="C38" s="14" t="s">
        <v>118</v>
      </c>
      <c r="D38" s="19" t="s">
        <v>32</v>
      </c>
      <c r="E38" s="21" t="s">
        <v>36</v>
      </c>
      <c r="F38" s="12">
        <v>0</v>
      </c>
      <c r="G38" s="12">
        <v>0</v>
      </c>
      <c r="H38" s="12">
        <v>5</v>
      </c>
      <c r="I38" s="12">
        <v>0</v>
      </c>
      <c r="J38" s="12">
        <v>1</v>
      </c>
      <c r="K38" s="12">
        <f>SUM(F38:J38)</f>
      </c>
      <c r="L38" s="17">
        <f>F38*Rates!$B$4/Rates!$B$9+G38*Rates!$B$5/Rates!$B$9+H38*Rates!$B$6/Rates!$B$9+I38*Rates!$B$7/Rates!$B$9+J38*Rates!$B$8/Rates!$B$9</f>
      </c>
      <c r="M38" s="18"/>
    </row>
    <row r="39" spans="1:13" s="11" customFormat="1" x14ac:dyDescent="0.25">
      <c r="A39" s="12" t="s">
        <v>119</v>
      </c>
      <c r="B39" s="13" t="s">
        <v>120</v>
      </c>
      <c r="C39" s="14" t="s">
        <v>121</v>
      </c>
      <c r="D39" s="19" t="s">
        <v>32</v>
      </c>
      <c r="E39" s="21" t="s">
        <v>36</v>
      </c>
      <c r="F39" s="12">
        <v>4</v>
      </c>
      <c r="G39" s="12">
        <v>18</v>
      </c>
      <c r="H39" s="12">
        <v>20</v>
      </c>
      <c r="I39" s="12">
        <v>0</v>
      </c>
      <c r="J39" s="12">
        <v>6</v>
      </c>
      <c r="K39" s="12">
        <f>SUM(F39:J39)</f>
      </c>
      <c r="L39" s="17">
        <f>F39*Rates!$B$4/Rates!$B$9+G39*Rates!$B$5/Rates!$B$9+H39*Rates!$B$6/Rates!$B$9+I39*Rates!$B$7/Rates!$B$9+J39*Rates!$B$8/Rates!$B$9</f>
      </c>
      <c r="M39" s="18"/>
    </row>
    <row r="40" spans="1:13" s="11" customFormat="1" x14ac:dyDescent="0.25">
      <c r="A40" s="12" t="s">
        <v>122</v>
      </c>
      <c r="B40" s="13" t="s">
        <v>120</v>
      </c>
      <c r="C40" s="14" t="s">
        <v>123</v>
      </c>
      <c r="D40" s="22" t="s">
        <v>70</v>
      </c>
      <c r="E40" s="16" t="s">
        <v>29</v>
      </c>
      <c r="F40" s="12">
        <v>0</v>
      </c>
      <c r="G40" s="12">
        <v>1</v>
      </c>
      <c r="H40" s="12">
        <v>2</v>
      </c>
      <c r="I40" s="12">
        <v>0</v>
      </c>
      <c r="J40" s="12">
        <v>1</v>
      </c>
      <c r="K40" s="12">
        <f>SUM(F40:J40)</f>
      </c>
      <c r="L40" s="17">
        <f>F40*Rates!$B$4/Rates!$B$9+G40*Rates!$B$5/Rates!$B$9+H40*Rates!$B$6/Rates!$B$9+I40*Rates!$B$7/Rates!$B$9+J40*Rates!$B$8/Rates!$B$9</f>
      </c>
      <c r="M40" s="18"/>
    </row>
    <row r="41" spans="1:13" s="11" customFormat="1" x14ac:dyDescent="0.25">
      <c r="A41" s="12" t="s">
        <v>124</v>
      </c>
      <c r="B41" s="13" t="s">
        <v>120</v>
      </c>
      <c r="C41" s="14" t="s">
        <v>125</v>
      </c>
      <c r="D41" s="22" t="s">
        <v>70</v>
      </c>
      <c r="E41" s="20" t="s">
        <v>33</v>
      </c>
      <c r="F41" s="12">
        <v>3</v>
      </c>
      <c r="G41" s="12">
        <v>16</v>
      </c>
      <c r="H41" s="12">
        <v>4</v>
      </c>
      <c r="I41" s="12">
        <v>0</v>
      </c>
      <c r="J41" s="12">
        <v>2</v>
      </c>
      <c r="K41" s="12">
        <f>SUM(F41:J41)</f>
      </c>
      <c r="L41" s="17">
        <f>F41*Rates!$B$4/Rates!$B$9+G41*Rates!$B$5/Rates!$B$9+H41*Rates!$B$6/Rates!$B$9+I41*Rates!$B$7/Rates!$B$9+J41*Rates!$B$8/Rates!$B$9</f>
      </c>
      <c r="M41" s="18"/>
    </row>
    <row r="42" spans="1:13" s="11" customFormat="1" x14ac:dyDescent="0.25">
      <c r="A42" s="12" t="s">
        <v>126</v>
      </c>
      <c r="B42" s="13" t="s">
        <v>120</v>
      </c>
      <c r="C42" s="14" t="s">
        <v>127</v>
      </c>
      <c r="D42" s="19" t="s">
        <v>32</v>
      </c>
      <c r="E42" s="20" t="s">
        <v>33</v>
      </c>
      <c r="F42" s="12">
        <v>3</v>
      </c>
      <c r="G42" s="12">
        <v>20</v>
      </c>
      <c r="H42" s="12">
        <v>28</v>
      </c>
      <c r="I42" s="12">
        <v>0</v>
      </c>
      <c r="J42" s="12">
        <v>4</v>
      </c>
      <c r="K42" s="12">
        <f>SUM(F42:J42)</f>
      </c>
      <c r="L42" s="17">
        <f>F42*Rates!$B$4/Rates!$B$9+G42*Rates!$B$5/Rates!$B$9+H42*Rates!$B$6/Rates!$B$9+I42*Rates!$B$7/Rates!$B$9+J42*Rates!$B$8/Rates!$B$9</f>
      </c>
      <c r="M42" s="18"/>
    </row>
    <row r="43" spans="1:13" s="11" customFormat="1" x14ac:dyDescent="0.25">
      <c r="A43" s="12" t="s">
        <v>128</v>
      </c>
      <c r="B43" s="13" t="s">
        <v>120</v>
      </c>
      <c r="C43" s="14" t="s">
        <v>129</v>
      </c>
      <c r="D43" s="19" t="s">
        <v>32</v>
      </c>
      <c r="E43" s="20" t="s">
        <v>33</v>
      </c>
      <c r="F43" s="12">
        <v>0</v>
      </c>
      <c r="G43" s="12">
        <v>5</v>
      </c>
      <c r="H43" s="12">
        <v>2</v>
      </c>
      <c r="I43" s="12">
        <v>0</v>
      </c>
      <c r="J43" s="12">
        <v>1</v>
      </c>
      <c r="K43" s="12">
        <f>SUM(F43:J43)</f>
      </c>
      <c r="L43" s="17">
        <f>F43*Rates!$B$4/Rates!$B$9+G43*Rates!$B$5/Rates!$B$9+H43*Rates!$B$6/Rates!$B$9+I43*Rates!$B$7/Rates!$B$9+J43*Rates!$B$8/Rates!$B$9</f>
      </c>
      <c r="M43" s="18"/>
    </row>
    <row r="44" spans="1:13" s="11" customFormat="1" x14ac:dyDescent="0.25">
      <c r="A44" s="12" t="s">
        <v>130</v>
      </c>
      <c r="B44" s="13" t="s">
        <v>131</v>
      </c>
      <c r="C44" s="14" t="s">
        <v>132</v>
      </c>
      <c r="D44" s="19" t="s">
        <v>32</v>
      </c>
      <c r="E44" s="20" t="s">
        <v>33</v>
      </c>
      <c r="F44" s="12">
        <v>4</v>
      </c>
      <c r="G44" s="12">
        <v>22</v>
      </c>
      <c r="H44" s="12">
        <v>6</v>
      </c>
      <c r="I44" s="12">
        <v>0</v>
      </c>
      <c r="J44" s="12">
        <v>3</v>
      </c>
      <c r="K44" s="12">
        <f>SUM(F44:J44)</f>
      </c>
      <c r="L44" s="17">
        <f>F44*Rates!$B$4/Rates!$B$9+G44*Rates!$B$5/Rates!$B$9+H44*Rates!$B$6/Rates!$B$9+I44*Rates!$B$7/Rates!$B$9+J44*Rates!$B$8/Rates!$B$9</f>
      </c>
      <c r="M44" s="18"/>
    </row>
    <row r="45" spans="1:13" s="11" customFormat="1" x14ac:dyDescent="0.25">
      <c r="A45" s="12" t="s">
        <v>133</v>
      </c>
      <c r="B45" s="13" t="s">
        <v>131</v>
      </c>
      <c r="C45" s="14" t="s">
        <v>134</v>
      </c>
      <c r="D45" s="19" t="s">
        <v>32</v>
      </c>
      <c r="E45" s="20" t="s">
        <v>33</v>
      </c>
      <c r="F45" s="12">
        <v>0</v>
      </c>
      <c r="G45" s="12">
        <v>5</v>
      </c>
      <c r="H45" s="12">
        <v>0</v>
      </c>
      <c r="I45" s="12">
        <v>0</v>
      </c>
      <c r="J45" s="12">
        <v>1</v>
      </c>
      <c r="K45" s="12">
        <f>SUM(F45:J45)</f>
      </c>
      <c r="L45" s="17">
        <f>F45*Rates!$B$4/Rates!$B$9+G45*Rates!$B$5/Rates!$B$9+H45*Rates!$B$6/Rates!$B$9+I45*Rates!$B$7/Rates!$B$9+J45*Rates!$B$8/Rates!$B$9</f>
      </c>
      <c r="M45" s="18"/>
    </row>
    <row r="46" spans="1:13" s="11" customFormat="1" x14ac:dyDescent="0.25">
      <c r="A46" s="12" t="s">
        <v>135</v>
      </c>
      <c r="B46" s="13" t="s">
        <v>131</v>
      </c>
      <c r="C46" s="14" t="s">
        <v>136</v>
      </c>
      <c r="D46" s="19" t="s">
        <v>32</v>
      </c>
      <c r="E46" s="20" t="s">
        <v>33</v>
      </c>
      <c r="F46" s="12">
        <v>0</v>
      </c>
      <c r="G46" s="12">
        <v>5</v>
      </c>
      <c r="H46" s="12">
        <v>0</v>
      </c>
      <c r="I46" s="12">
        <v>0</v>
      </c>
      <c r="J46" s="12">
        <v>1</v>
      </c>
      <c r="K46" s="12">
        <f>SUM(F46:J46)</f>
      </c>
      <c r="L46" s="17">
        <f>F46*Rates!$B$4/Rates!$B$9+G46*Rates!$B$5/Rates!$B$9+H46*Rates!$B$6/Rates!$B$9+I46*Rates!$B$7/Rates!$B$9+J46*Rates!$B$8/Rates!$B$9</f>
      </c>
      <c r="M46" s="18"/>
    </row>
    <row r="47" spans="1:13" s="11" customFormat="1" x14ac:dyDescent="0.25">
      <c r="A47" s="12" t="s">
        <v>137</v>
      </c>
      <c r="B47" s="13" t="s">
        <v>131</v>
      </c>
      <c r="C47" s="14" t="s">
        <v>138</v>
      </c>
      <c r="D47" s="15" t="s">
        <v>28</v>
      </c>
      <c r="E47" s="16" t="s">
        <v>29</v>
      </c>
      <c r="F47" s="12">
        <v>0</v>
      </c>
      <c r="G47" s="12">
        <v>1</v>
      </c>
      <c r="H47" s="12">
        <v>0</v>
      </c>
      <c r="I47" s="12">
        <v>0</v>
      </c>
      <c r="J47" s="12">
        <v>0</v>
      </c>
      <c r="K47" s="12">
        <f>SUM(F47:J47)</f>
      </c>
      <c r="L47" s="17">
        <f>F47*Rates!$B$4/Rates!$B$9+G47*Rates!$B$5/Rates!$B$9+H47*Rates!$B$6/Rates!$B$9+I47*Rates!$B$7/Rates!$B$9+J47*Rates!$B$8/Rates!$B$9</f>
      </c>
      <c r="M47" s="18"/>
    </row>
    <row r="48" spans="1:13" s="11" customFormat="1" x14ac:dyDescent="0.25">
      <c r="A48" s="12" t="s">
        <v>139</v>
      </c>
      <c r="B48" s="13" t="s">
        <v>131</v>
      </c>
      <c r="C48" s="14" t="s">
        <v>140</v>
      </c>
      <c r="D48" s="19" t="s">
        <v>32</v>
      </c>
      <c r="E48" s="21" t="s">
        <v>36</v>
      </c>
      <c r="F48" s="12">
        <v>4</v>
      </c>
      <c r="G48" s="12">
        <v>18</v>
      </c>
      <c r="H48" s="12">
        <v>20</v>
      </c>
      <c r="I48" s="12">
        <v>0</v>
      </c>
      <c r="J48" s="12">
        <v>6</v>
      </c>
      <c r="K48" s="12">
        <f>SUM(F48:J48)</f>
      </c>
      <c r="L48" s="17">
        <f>F48*Rates!$B$4/Rates!$B$9+G48*Rates!$B$5/Rates!$B$9+H48*Rates!$B$6/Rates!$B$9+I48*Rates!$B$7/Rates!$B$9+J48*Rates!$B$8/Rates!$B$9</f>
      </c>
      <c r="M48" s="18"/>
    </row>
    <row r="49" spans="1:13" s="11" customFormat="1" x14ac:dyDescent="0.25">
      <c r="A49" s="12" t="s">
        <v>141</v>
      </c>
      <c r="B49" s="13" t="s">
        <v>131</v>
      </c>
      <c r="C49" s="14" t="s">
        <v>142</v>
      </c>
      <c r="D49" s="19" t="s">
        <v>32</v>
      </c>
      <c r="E49" s="20" t="s">
        <v>33</v>
      </c>
      <c r="F49" s="12">
        <v>0</v>
      </c>
      <c r="G49" s="12">
        <v>6</v>
      </c>
      <c r="H49" s="12">
        <v>0</v>
      </c>
      <c r="I49" s="12">
        <v>0</v>
      </c>
      <c r="J49" s="12">
        <v>1</v>
      </c>
      <c r="K49" s="12">
        <f>SUM(F49:J49)</f>
      </c>
      <c r="L49" s="17">
        <f>F49*Rates!$B$4/Rates!$B$9+G49*Rates!$B$5/Rates!$B$9+H49*Rates!$B$6/Rates!$B$9+I49*Rates!$B$7/Rates!$B$9+J49*Rates!$B$8/Rates!$B$9</f>
      </c>
      <c r="M49" s="18"/>
    </row>
    <row r="50" spans="1:13" s="11" customFormat="1" x14ac:dyDescent="0.25">
      <c r="A50" s="12" t="s">
        <v>143</v>
      </c>
      <c r="B50" s="13" t="s">
        <v>131</v>
      </c>
      <c r="C50" s="14" t="s">
        <v>144</v>
      </c>
      <c r="D50" s="19" t="s">
        <v>32</v>
      </c>
      <c r="E50" s="20" t="s">
        <v>33</v>
      </c>
      <c r="F50" s="12">
        <v>3</v>
      </c>
      <c r="G50" s="12">
        <v>24</v>
      </c>
      <c r="H50" s="12">
        <v>16</v>
      </c>
      <c r="I50" s="12">
        <v>0</v>
      </c>
      <c r="J50" s="12">
        <v>4</v>
      </c>
      <c r="K50" s="12">
        <f>SUM(F50:J50)</f>
      </c>
      <c r="L50" s="17">
        <f>F50*Rates!$B$4/Rates!$B$9+G50*Rates!$B$5/Rates!$B$9+H50*Rates!$B$6/Rates!$B$9+I50*Rates!$B$7/Rates!$B$9+J50*Rates!$B$8/Rates!$B$9</f>
      </c>
      <c r="M50" s="18"/>
    </row>
    <row r="51" spans="1:13" s="11" customFormat="1" x14ac:dyDescent="0.25">
      <c r="A51" s="12" t="s">
        <v>145</v>
      </c>
      <c r="B51" s="13" t="s">
        <v>131</v>
      </c>
      <c r="C51" s="14" t="s">
        <v>146</v>
      </c>
      <c r="D51" s="15" t="s">
        <v>28</v>
      </c>
      <c r="E51" s="16" t="s">
        <v>29</v>
      </c>
      <c r="F51" s="12">
        <v>0</v>
      </c>
      <c r="G51" s="12">
        <v>1</v>
      </c>
      <c r="H51" s="12">
        <v>0</v>
      </c>
      <c r="I51" s="12">
        <v>0</v>
      </c>
      <c r="J51" s="12">
        <v>0</v>
      </c>
      <c r="K51" s="12">
        <f>SUM(F51:J51)</f>
      </c>
      <c r="L51" s="17">
        <f>F51*Rates!$B$4/Rates!$B$9+G51*Rates!$B$5/Rates!$B$9+H51*Rates!$B$6/Rates!$B$9+I51*Rates!$B$7/Rates!$B$9+J51*Rates!$B$8/Rates!$B$9</f>
      </c>
      <c r="M51" s="18"/>
    </row>
    <row r="52" spans="1:13" s="11" customFormat="1" x14ac:dyDescent="0.25">
      <c r="A52" s="12" t="s">
        <v>147</v>
      </c>
      <c r="B52" s="13" t="s">
        <v>131</v>
      </c>
      <c r="C52" s="14" t="s">
        <v>148</v>
      </c>
      <c r="D52" s="22" t="s">
        <v>70</v>
      </c>
      <c r="E52" s="20" t="s">
        <v>33</v>
      </c>
      <c r="F52" s="12">
        <v>2</v>
      </c>
      <c r="G52" s="12">
        <v>20</v>
      </c>
      <c r="H52" s="12">
        <v>14</v>
      </c>
      <c r="I52" s="12">
        <v>0</v>
      </c>
      <c r="J52" s="12">
        <v>4</v>
      </c>
      <c r="K52" s="12">
        <f>SUM(F52:J52)</f>
      </c>
      <c r="L52" s="17">
        <f>F52*Rates!$B$4/Rates!$B$9+G52*Rates!$B$5/Rates!$B$9+H52*Rates!$B$6/Rates!$B$9+I52*Rates!$B$7/Rates!$B$9+J52*Rates!$B$8/Rates!$B$9</f>
      </c>
      <c r="M52" s="18"/>
    </row>
    <row r="53" spans="1:13" s="11" customFormat="1" x14ac:dyDescent="0.25">
      <c r="A53" s="12" t="s">
        <v>149</v>
      </c>
      <c r="B53" s="13" t="s">
        <v>131</v>
      </c>
      <c r="C53" s="14" t="s">
        <v>150</v>
      </c>
      <c r="D53" s="19" t="s">
        <v>32</v>
      </c>
      <c r="E53" s="20" t="s">
        <v>33</v>
      </c>
      <c r="F53" s="12">
        <v>2</v>
      </c>
      <c r="G53" s="12">
        <v>16</v>
      </c>
      <c r="H53" s="12">
        <v>6</v>
      </c>
      <c r="I53" s="12">
        <v>0</v>
      </c>
      <c r="J53" s="12">
        <v>2</v>
      </c>
      <c r="K53" s="12">
        <f>SUM(F53:J53)</f>
      </c>
      <c r="L53" s="17">
        <f>F53*Rates!$B$4/Rates!$B$9+G53*Rates!$B$5/Rates!$B$9+H53*Rates!$B$6/Rates!$B$9+I53*Rates!$B$7/Rates!$B$9+J53*Rates!$B$8/Rates!$B$9</f>
      </c>
      <c r="M53" s="18"/>
    </row>
    <row r="54" spans="1:13" s="11" customFormat="1" x14ac:dyDescent="0.25">
      <c r="A54" s="12" t="s">
        <v>151</v>
      </c>
      <c r="B54" s="13" t="s">
        <v>131</v>
      </c>
      <c r="C54" s="14" t="s">
        <v>152</v>
      </c>
      <c r="D54" s="22" t="s">
        <v>70</v>
      </c>
      <c r="E54" s="20" t="s">
        <v>33</v>
      </c>
      <c r="F54" s="12">
        <v>0</v>
      </c>
      <c r="G54" s="12">
        <v>4</v>
      </c>
      <c r="H54" s="12">
        <v>18</v>
      </c>
      <c r="I54" s="12">
        <v>0</v>
      </c>
      <c r="J54" s="12">
        <v>3</v>
      </c>
      <c r="K54" s="12">
        <f>SUM(F54:J54)</f>
      </c>
      <c r="L54" s="17">
        <f>F54*Rates!$B$4/Rates!$B$9+G54*Rates!$B$5/Rates!$B$9+H54*Rates!$B$6/Rates!$B$9+I54*Rates!$B$7/Rates!$B$9+J54*Rates!$B$8/Rates!$B$9</f>
      </c>
      <c r="M54" s="18"/>
    </row>
    <row r="55" spans="1:13" s="11" customFormat="1" x14ac:dyDescent="0.25">
      <c r="A55" s="12" t="s">
        <v>153</v>
      </c>
      <c r="B55" s="13" t="s">
        <v>131</v>
      </c>
      <c r="C55" s="14" t="s">
        <v>154</v>
      </c>
      <c r="D55" s="19" t="s">
        <v>32</v>
      </c>
      <c r="E55" s="21" t="s">
        <v>36</v>
      </c>
      <c r="F55" s="12">
        <v>0</v>
      </c>
      <c r="G55" s="12">
        <v>12</v>
      </c>
      <c r="H55" s="12">
        <v>28</v>
      </c>
      <c r="I55" s="12">
        <v>2</v>
      </c>
      <c r="J55" s="12">
        <v>6</v>
      </c>
      <c r="K55" s="12">
        <f>SUM(F55:J55)</f>
      </c>
      <c r="L55" s="17">
        <f>F55*Rates!$B$4/Rates!$B$9+G55*Rates!$B$5/Rates!$B$9+H55*Rates!$B$6/Rates!$B$9+I55*Rates!$B$7/Rates!$B$9+J55*Rates!$B$8/Rates!$B$9</f>
      </c>
      <c r="M55" s="18"/>
    </row>
    <row r="56" spans="1:13" s="11" customFormat="1" x14ac:dyDescent="0.25">
      <c r="A56" s="12" t="s">
        <v>155</v>
      </c>
      <c r="B56" s="13" t="s">
        <v>131</v>
      </c>
      <c r="C56" s="14" t="s">
        <v>156</v>
      </c>
      <c r="D56" s="19" t="s">
        <v>32</v>
      </c>
      <c r="E56" s="20" t="s">
        <v>33</v>
      </c>
      <c r="F56" s="12">
        <v>0</v>
      </c>
      <c r="G56" s="12">
        <v>5</v>
      </c>
      <c r="H56" s="12">
        <v>2</v>
      </c>
      <c r="I56" s="12">
        <v>0</v>
      </c>
      <c r="J56" s="12">
        <v>1</v>
      </c>
      <c r="K56" s="12">
        <f>SUM(F56:J56)</f>
      </c>
      <c r="L56" s="17">
        <f>F56*Rates!$B$4/Rates!$B$9+G56*Rates!$B$5/Rates!$B$9+H56*Rates!$B$6/Rates!$B$9+I56*Rates!$B$7/Rates!$B$9+J56*Rates!$B$8/Rates!$B$9</f>
      </c>
      <c r="M56" s="18"/>
    </row>
    <row r="57" spans="1:13" s="11" customFormat="1" x14ac:dyDescent="0.25">
      <c r="A57" s="12" t="s">
        <v>157</v>
      </c>
      <c r="B57" s="13" t="s">
        <v>131</v>
      </c>
      <c r="C57" s="14" t="s">
        <v>158</v>
      </c>
      <c r="D57" s="19" t="s">
        <v>32</v>
      </c>
      <c r="E57" s="20" t="s">
        <v>33</v>
      </c>
      <c r="F57" s="12">
        <v>4</v>
      </c>
      <c r="G57" s="12">
        <v>20</v>
      </c>
      <c r="H57" s="12">
        <v>18</v>
      </c>
      <c r="I57" s="12">
        <v>0</v>
      </c>
      <c r="J57" s="12">
        <v>4</v>
      </c>
      <c r="K57" s="12">
        <f>SUM(F57:J57)</f>
      </c>
      <c r="L57" s="17">
        <f>F57*Rates!$B$4/Rates!$B$9+G57*Rates!$B$5/Rates!$B$9+H57*Rates!$B$6/Rates!$B$9+I57*Rates!$B$7/Rates!$B$9+J57*Rates!$B$8/Rates!$B$9</f>
      </c>
      <c r="M57" s="18"/>
    </row>
    <row r="58" spans="1:13" s="11" customFormat="1" x14ac:dyDescent="0.25">
      <c r="A58" s="12" t="s">
        <v>159</v>
      </c>
      <c r="B58" s="13" t="s">
        <v>131</v>
      </c>
      <c r="C58" s="14" t="s">
        <v>160</v>
      </c>
      <c r="D58" s="19" t="s">
        <v>32</v>
      </c>
      <c r="E58" s="20" t="s">
        <v>33</v>
      </c>
      <c r="F58" s="12">
        <v>2</v>
      </c>
      <c r="G58" s="12">
        <v>18</v>
      </c>
      <c r="H58" s="12">
        <v>8</v>
      </c>
      <c r="I58" s="12">
        <v>0</v>
      </c>
      <c r="J58" s="12">
        <v>4</v>
      </c>
      <c r="K58" s="12">
        <f>SUM(F58:J58)</f>
      </c>
      <c r="L58" s="17">
        <f>F58*Rates!$B$4/Rates!$B$9+G58*Rates!$B$5/Rates!$B$9+H58*Rates!$B$6/Rates!$B$9+I58*Rates!$B$7/Rates!$B$9+J58*Rates!$B$8/Rates!$B$9</f>
      </c>
      <c r="M58" s="18"/>
    </row>
    <row r="59" spans="1:13" s="11" customFormat="1" x14ac:dyDescent="0.25">
      <c r="A59" s="12" t="s">
        <v>161</v>
      </c>
      <c r="B59" s="13" t="s">
        <v>131</v>
      </c>
      <c r="C59" s="14" t="s">
        <v>162</v>
      </c>
      <c r="D59" s="15" t="s">
        <v>28</v>
      </c>
      <c r="E59" s="16" t="s">
        <v>29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f>SUM(F59:J59)</f>
      </c>
      <c r="L59" s="17">
        <f>F59*Rates!$B$4/Rates!$B$9+G59*Rates!$B$5/Rates!$B$9+H59*Rates!$B$6/Rates!$B$9+I59*Rates!$B$7/Rates!$B$9+J59*Rates!$B$8/Rates!$B$9</f>
      </c>
      <c r="M59" s="18"/>
    </row>
    <row r="60" spans="1:13" s="11" customFormat="1" x14ac:dyDescent="0.25">
      <c r="A60" s="12" t="s">
        <v>163</v>
      </c>
      <c r="B60" s="13" t="s">
        <v>131</v>
      </c>
      <c r="C60" s="14" t="s">
        <v>164</v>
      </c>
      <c r="D60" s="19" t="s">
        <v>32</v>
      </c>
      <c r="E60" s="21" t="s">
        <v>36</v>
      </c>
      <c r="F60" s="12">
        <v>4</v>
      </c>
      <c r="G60" s="12">
        <v>18</v>
      </c>
      <c r="H60" s="12">
        <v>22</v>
      </c>
      <c r="I60" s="12">
        <v>0</v>
      </c>
      <c r="J60" s="12">
        <v>6</v>
      </c>
      <c r="K60" s="12">
        <f>SUM(F60:J60)</f>
      </c>
      <c r="L60" s="17">
        <f>F60*Rates!$B$4/Rates!$B$9+G60*Rates!$B$5/Rates!$B$9+H60*Rates!$B$6/Rates!$B$9+I60*Rates!$B$7/Rates!$B$9+J60*Rates!$B$8/Rates!$B$9</f>
      </c>
      <c r="M60" s="18"/>
    </row>
    <row r="61" spans="1:13" s="11" customFormat="1" x14ac:dyDescent="0.25">
      <c r="A61" s="12" t="s">
        <v>165</v>
      </c>
      <c r="B61" s="13" t="s">
        <v>166</v>
      </c>
      <c r="C61" s="14" t="s">
        <v>167</v>
      </c>
      <c r="D61" s="19" t="s">
        <v>32</v>
      </c>
      <c r="E61" s="21" t="s">
        <v>36</v>
      </c>
      <c r="F61" s="12">
        <v>6</v>
      </c>
      <c r="G61" s="12">
        <v>2</v>
      </c>
      <c r="H61" s="12">
        <v>0</v>
      </c>
      <c r="I61" s="12">
        <v>0</v>
      </c>
      <c r="J61" s="12">
        <v>44</v>
      </c>
      <c r="K61" s="12">
        <f>SUM(F61:J61)</f>
      </c>
      <c r="L61" s="17">
        <f>F61*Rates!$B$4/Rates!$B$9+G61*Rates!$B$5/Rates!$B$9+H61*Rates!$B$6/Rates!$B$9+I61*Rates!$B$7/Rates!$B$9+J61*Rates!$B$8/Rates!$B$9</f>
      </c>
      <c r="M61" s="18"/>
    </row>
    <row r="62" spans="1:13" x14ac:dyDescent="0.25">
      <c r="A62" s="24"/>
      <c r="B62" s="24"/>
      <c r="C62" s="25" t="s">
        <v>168</v>
      </c>
      <c r="D62" s="24"/>
      <c r="E62" s="24"/>
      <c r="F62" s="26">
        <f>SUM(F2:F61)</f>
      </c>
      <c r="G62" s="26">
        <f>SUM(G2:G61)</f>
      </c>
      <c r="H62" s="26">
        <f>SUM(H2:H61)</f>
      </c>
      <c r="I62" s="26">
        <f>SUM(I2:I61)</f>
      </c>
      <c r="J62" s="26">
        <f>SUM(J2:J61)</f>
      </c>
      <c r="K62" s="26">
        <f>SUM(K2:K61)</f>
      </c>
      <c r="L62" s="27">
        <f>SUM(L2:L61)</f>
      </c>
      <c r="M62" s="24"/>
    </row>
  </sheetData>
  <autoFilter ref="A1:M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8" customWidth="1"/>
    <col min="2" max="2" width="12" customWidth="1"/>
    <col min="3" max="5" width="14" customWidth="1"/>
  </cols>
  <sheetData>
    <row r="1" spans="1:1" x14ac:dyDescent="0.25">
      <c r="A1" s="1" t="s">
        <v>169</v>
      </c>
    </row>
    <row r="3" spans="1:1" x14ac:dyDescent="0.25">
      <c r="A3" s="28" t="s">
        <v>170</v>
      </c>
    </row>
    <row r="4" spans="1:5" x14ac:dyDescent="0.25">
      <c r="A4" s="2" t="s">
        <v>1</v>
      </c>
      <c r="B4" s="2" t="s">
        <v>171</v>
      </c>
      <c r="C4" s="2" t="s">
        <v>172</v>
      </c>
      <c r="D4" s="2" t="s">
        <v>173</v>
      </c>
      <c r="E4" s="2" t="s">
        <v>23</v>
      </c>
    </row>
    <row r="5" spans="1:5" x14ac:dyDescent="0.25">
      <c r="A5" t="s">
        <v>4</v>
      </c>
      <c r="B5" s="29">
        <f>SUM(Items!F2:F61)</f>
      </c>
      <c r="C5" s="6">
        <f>Rates!B4</f>
      </c>
      <c r="D5" s="30">
        <f>B5/Rates!$B$9</f>
      </c>
      <c r="E5" s="6">
        <f>D5*C5</f>
      </c>
    </row>
    <row r="6" spans="1:5" x14ac:dyDescent="0.25">
      <c r="A6" s="3" t="s">
        <v>5</v>
      </c>
      <c r="B6" s="31">
        <f>SUM(Items!G2:G61)</f>
      </c>
      <c r="C6" s="4">
        <f>Rates!B5</f>
      </c>
      <c r="D6" s="32">
        <f>B6/Rates!$B$9</f>
      </c>
      <c r="E6" s="4">
        <f>D6*C6</f>
      </c>
    </row>
    <row r="7" spans="1:5" x14ac:dyDescent="0.25">
      <c r="A7" t="s">
        <v>6</v>
      </c>
      <c r="B7" s="29">
        <f>SUM(Items!H2:H61)</f>
      </c>
      <c r="C7" s="6">
        <f>Rates!B6</f>
      </c>
      <c r="D7" s="30">
        <f>B7/Rates!$B$9</f>
      </c>
      <c r="E7" s="6">
        <f>D7*C7</f>
      </c>
    </row>
    <row r="8" spans="1:5" x14ac:dyDescent="0.25">
      <c r="A8" s="3" t="s">
        <v>7</v>
      </c>
      <c r="B8" s="31">
        <f>SUM(Items!I2:I61)</f>
      </c>
      <c r="C8" s="4">
        <f>Rates!B7</f>
      </c>
      <c r="D8" s="32">
        <f>B8/Rates!$B$9</f>
      </c>
      <c r="E8" s="4">
        <f>D8*C8</f>
      </c>
    </row>
    <row r="9" spans="1:5" x14ac:dyDescent="0.25">
      <c r="A9" t="s">
        <v>8</v>
      </c>
      <c r="B9" s="29">
        <f>SUM(Items!J2:J61)</f>
      </c>
      <c r="C9" s="6">
        <f>Rates!B8</f>
      </c>
      <c r="D9" s="30">
        <f>B9/Rates!$B$9</f>
      </c>
      <c r="E9" s="6">
        <f>D9*C9</f>
      </c>
    </row>
    <row r="10" spans="1:5" x14ac:dyDescent="0.25">
      <c r="A10" s="2" t="s">
        <v>174</v>
      </c>
      <c r="B10" s="33">
        <f>SUM(B5:B9)</f>
      </c>
      <c r="D10" s="34">
        <f>SUM(D5:D9)</f>
      </c>
      <c r="E10" s="35">
        <f>SUM(E5:E9)</f>
      </c>
    </row>
    <row r="12" spans="1:1" x14ac:dyDescent="0.25">
      <c r="A12" s="28" t="s">
        <v>175</v>
      </c>
    </row>
    <row r="13" spans="1:5" x14ac:dyDescent="0.25">
      <c r="A13" s="2" t="s">
        <v>15</v>
      </c>
      <c r="B13" s="2" t="s">
        <v>176</v>
      </c>
      <c r="C13" s="2" t="s">
        <v>171</v>
      </c>
      <c r="D13" s="2" t="s">
        <v>23</v>
      </c>
      <c r="E13" s="2" t="s">
        <v>10</v>
      </c>
    </row>
    <row r="14" spans="1:5" x14ac:dyDescent="0.25">
      <c r="A14" t="s">
        <v>177</v>
      </c>
      <c r="B14" s="29">
        <f>COUNTIF(Items!D2:D61,"Original")</f>
      </c>
      <c r="C14" s="29">
        <f>SUMIF(Items!D2:D61,"Original",Items!K2:K61)</f>
      </c>
      <c r="D14" s="6">
        <f>SUMIF(Items!D2:D61,"Original",Items!L2:L61)</f>
      </c>
      <c r="E14" s="36" t="s">
        <v>178</v>
      </c>
    </row>
    <row r="15" spans="1:5" x14ac:dyDescent="0.25">
      <c r="A15" t="s">
        <v>179</v>
      </c>
      <c r="B15" s="29">
        <f>COUNTIF(Items!D2:D61,"Additional")</f>
      </c>
      <c r="C15" s="29">
        <f>SUMIF(Items!D2:D61,"Additional",Items!K2:K61)</f>
      </c>
      <c r="D15" s="6">
        <f>SUMIF(Items!D2:D61,"Additional",Items!L2:L61)</f>
      </c>
      <c r="E15" s="36" t="s">
        <v>180</v>
      </c>
    </row>
    <row r="16" spans="1:5" x14ac:dyDescent="0.25">
      <c r="A16" s="37" t="s">
        <v>181</v>
      </c>
      <c r="B16" s="38">
        <f>COUNTIF(Items!D2:D61,"Goodwill")</f>
      </c>
      <c r="C16" s="38">
        <f>SUMIF(Items!D2:D61,"Goodwill",Items!K2:K61)</f>
      </c>
      <c r="D16" s="39">
        <v>0</v>
      </c>
      <c r="E16" s="40" t="s">
        <v>182</v>
      </c>
    </row>
    <row r="17" spans="1:4" x14ac:dyDescent="0.25">
      <c r="A17" s="2" t="s">
        <v>183</v>
      </c>
      <c r="C17" s="33">
        <f>Items!K62</f>
      </c>
      <c r="D17" s="35">
        <f>Items!L62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Items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Bullyproof change-request costing</dc:creator>
  <dc:title/>
  <dc:subject/>
  <dc:description/>
  <cp:keywords/>
  <cp:category/>
  <cp:lastModifiedBy>Unknown</cp:lastModifiedBy>
  <dcterms:created xsi:type="dcterms:W3CDTF">2026-07-02T10:09:32Z</dcterms:created>
  <dcterms:modified xsi:type="dcterms:W3CDTF">2026-07-02T10:09:32Z</dcterms:modified>
</cp:coreProperties>
</file>